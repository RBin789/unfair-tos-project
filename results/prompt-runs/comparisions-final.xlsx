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0698B58A24AEF923/Documents/Visual-Studio-Code-Projects/unfair-tos-project/results/prompt-runs/"/>
    </mc:Choice>
  </mc:AlternateContent>
  <xr:revisionPtr revIDLastSave="1882" documentId="8_{2FE81AE6-A18A-4AA5-868C-9277D8EF3419}" xr6:coauthVersionLast="47" xr6:coauthVersionMax="47" xr10:uidLastSave="{67B9C97A-08C2-40BA-9E9E-841FD6A17CF9}"/>
  <bookViews>
    <workbookView xWindow="-110" yWindow="-110" windowWidth="38620" windowHeight="21100" tabRatio="996" xr2:uid="{00000000-000D-0000-FFFF-FFFF00000000}"/>
  </bookViews>
  <sheets>
    <sheet name="Graphs" sheetId="23" r:id="rId1"/>
    <sheet name="Main" sheetId="3" r:id="rId2"/>
    <sheet name="Prompts" sheetId="14" r:id="rId3"/>
    <sheet name="ZS13-Full-Gemini-3.1-Pro-27.05." sheetId="32" r:id="rId4"/>
    <sheet name="ZS12-Full-4.1m-27.05.26" sheetId="31" r:id="rId5"/>
    <sheet name="ZS11-Full-Gemini-2.5-flash-27.0" sheetId="30" r:id="rId6"/>
    <sheet name="ZS9-Full-Gemini3.1-pro-27.05.26" sheetId="25" r:id="rId7"/>
    <sheet name="ZS8-Full-Gemini2.5-flash-27.05." sheetId="24" r:id="rId8"/>
    <sheet name="ZS7-Full-5.4n-15.04.26" sheetId="19" r:id="rId9"/>
    <sheet name="ZS6-Full-5.4n-15.04.26" sheetId="18" r:id="rId10"/>
    <sheet name="ZS5-Full-5.4n-15.04.26" sheetId="17" r:id="rId11"/>
    <sheet name="ZS4-Full-5.4n-14.04.26" sheetId="16" r:id="rId12"/>
    <sheet name="ZS3-Full-4.1m-15.04.26" sheetId="20" r:id="rId13"/>
    <sheet name="ZS3-Full-5.4n-14.04.26" sheetId="15" r:id="rId14"/>
    <sheet name="ZS2-Full-4.1m-07.04.26" sheetId="8" r:id="rId15"/>
    <sheet name="ZS1-Full-4.1m-21.03.26" sheetId="9" r:id="rId16"/>
    <sheet name="FS8-Full-Gemini-2.5-flash-27.05" sheetId="28" r:id="rId17"/>
    <sheet name="FS7-Full-4.1m-19.05.26" sheetId="29" r:id="rId18"/>
    <sheet name="FS6-Full-Gemini3.1-pro-25.04.26" sheetId="22" r:id="rId19"/>
    <sheet name="FS5-Full-gemini-3-flash-preview" sheetId="21" r:id="rId20"/>
    <sheet name="FS4-Full-5.4n-10.04.26" sheetId="10" r:id="rId21"/>
    <sheet name="FS3-Full-4.1m-08.04.26" sheetId="2" r:id="rId22"/>
    <sheet name="FS2-Full-4.1m-08.04.26" sheetId="6" r:id="rId23"/>
    <sheet name="FS1-Full-4.1m-07.04.26" sheetId="7" r:id="rId24"/>
    <sheet name="GPT4.1m-fine-tunned" sheetId="4" r:id="rId25"/>
    <sheet name="Gemini-2.5-flash-fine-tunned" sheetId="26" r:id="rId26"/>
    <sheet name="Template" sheetId="1" r:id="rId27"/>
  </sheet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1" i="23" l="1"/>
  <c r="AB42" i="23"/>
  <c r="AB43" i="23"/>
  <c r="AB40" i="23"/>
  <c r="AA43" i="23"/>
  <c r="H78" i="14" a="1"/>
  <c r="H78" i="14" s="1"/>
  <c r="A33" i="14" a="1"/>
  <c r="A33" i="14" s="1"/>
  <c r="L36" i="3" a="1"/>
  <c r="I30" i="3" a="1"/>
  <c r="G28" i="3" a="1"/>
  <c r="E32" i="3" a="1"/>
  <c r="F28" i="3" a="1"/>
  <c r="L303" i="3" a="1"/>
  <c r="J302" i="3" a="1"/>
  <c r="G277" i="3" a="1"/>
  <c r="F254" i="3" a="1"/>
  <c r="L229" i="3" a="1"/>
  <c r="F228" i="3" a="1"/>
  <c r="E203" i="3" a="1"/>
  <c r="F178" i="3" a="1"/>
  <c r="J152" i="3" a="1"/>
  <c r="L152" i="3" a="1"/>
  <c r="F128" i="3" a="1"/>
  <c r="L104" i="3" a="1"/>
  <c r="G77" i="3" a="1"/>
  <c r="J78" i="3" a="1"/>
  <c r="E54" i="3" a="1"/>
  <c r="E311" i="3" a="1"/>
  <c r="L287" i="3" a="1"/>
  <c r="L261" i="3" a="1"/>
  <c r="F236" i="3" a="1"/>
  <c r="G212" i="3" a="1"/>
  <c r="E186" i="3" a="1"/>
  <c r="K137" i="3" a="1"/>
  <c r="F111" i="3" a="1"/>
  <c r="I86" i="3" a="1"/>
  <c r="E60" i="3" a="1"/>
  <c r="J275" i="3" a="1"/>
  <c r="K276" i="3" a="1"/>
  <c r="M300" i="3" a="1"/>
  <c r="G226" i="3" a="1"/>
  <c r="G75" i="3" a="1"/>
  <c r="J76" i="3" a="1"/>
  <c r="L151" i="3" a="1"/>
  <c r="F151" i="3" a="1"/>
  <c r="E151" i="3" a="1"/>
  <c r="K125" i="3" a="1"/>
  <c r="K216" i="3" a="1"/>
  <c r="L266" i="3" a="1"/>
  <c r="E246" i="3" a="1"/>
  <c r="L215" i="3" a="1"/>
  <c r="I191" i="3" a="1"/>
  <c r="J116" i="3" a="1"/>
  <c r="L116" i="3" a="1"/>
  <c r="G293" i="3" a="1"/>
  <c r="F224" i="3" a="1"/>
  <c r="F171" i="3" a="1"/>
  <c r="I220" i="3" a="1"/>
  <c r="N308" i="3" a="1"/>
  <c r="K280" i="3" a="1"/>
  <c r="H45" i="3" a="1"/>
  <c r="E46" i="3" a="1"/>
  <c r="E240" i="3" a="1"/>
  <c r="M13" i="3" a="1"/>
  <c r="E90" i="3" a="1"/>
  <c r="K157" i="3" a="1"/>
  <c r="E170" i="3" a="1"/>
  <c r="G56" i="3" a="1"/>
  <c r="F21" i="3" a="1"/>
  <c r="J243" i="3" a="1"/>
  <c r="I180" i="3" a="1"/>
  <c r="G280" i="3" a="1"/>
  <c r="J131" i="3" a="1"/>
  <c r="E243" i="3" a="1"/>
  <c r="F267" i="3" a="1"/>
  <c r="P50" i="3" a="1"/>
  <c r="I148" i="3" a="1"/>
  <c r="G285" i="3" a="1"/>
  <c r="K219" i="3" a="1"/>
  <c r="E143" i="3" a="1"/>
  <c r="E309" i="3" a="1"/>
  <c r="E199" i="3" a="1"/>
  <c r="I15" i="3" a="1"/>
  <c r="E259" i="3" a="1"/>
  <c r="G98" i="3" a="1"/>
  <c r="E122" i="3" a="1"/>
  <c r="I182" i="3" a="1"/>
  <c r="P46" i="3" a="1"/>
  <c r="I259" i="3" a="1"/>
  <c r="I94" i="3" a="1"/>
  <c r="P47" i="3" a="1"/>
  <c r="E169" i="3" a="1"/>
  <c r="J142" i="3" a="1"/>
  <c r="L305" i="3" a="1"/>
  <c r="N290" i="3" a="1"/>
  <c r="G183" i="3" a="1"/>
  <c r="G158" i="3" a="1"/>
  <c r="F92" i="3" a="1"/>
  <c r="K269" i="3" a="1"/>
  <c r="I132" i="3" a="1"/>
  <c r="F18" i="3" a="1"/>
  <c r="J7" i="3" a="1"/>
  <c r="H57" i="3" a="1"/>
  <c r="I65" i="3" a="1"/>
  <c r="K13" i="3" a="1"/>
  <c r="F156" i="3" a="1"/>
  <c r="E308" i="3" a="1"/>
  <c r="L74" i="3" a="1"/>
  <c r="I171" i="3" a="1"/>
  <c r="F56" i="3" a="1"/>
  <c r="K267" i="3" a="1"/>
  <c r="K168" i="3" a="1"/>
  <c r="I245" i="3" a="1"/>
  <c r="F169" i="3" a="1"/>
  <c r="K118" i="3" a="1"/>
  <c r="F198" i="3" a="1"/>
  <c r="I157" i="3" a="1"/>
  <c r="I243" i="3" a="1"/>
  <c r="K194" i="3" a="1"/>
  <c r="F12" i="3" a="1"/>
  <c r="I18" i="3" a="1"/>
  <c r="F43" i="3" a="1"/>
  <c r="J217" i="3" a="1"/>
  <c r="J93" i="3" a="1"/>
  <c r="I219" i="3" a="1"/>
  <c r="I268" i="3" a="1"/>
  <c r="K305" i="3" a="1"/>
  <c r="L22" i="3" a="1"/>
  <c r="I218" i="3" a="1"/>
  <c r="L170" i="3" a="1"/>
  <c r="K224" i="3" a="1"/>
  <c r="J34" i="3" a="1"/>
  <c r="L34" i="3" a="1"/>
  <c r="E35" i="3" a="1"/>
  <c r="J28" i="3" a="1"/>
  <c r="K33" i="3" a="1"/>
  <c r="K303" i="3" a="1"/>
  <c r="G303" i="3" a="1"/>
  <c r="G278" i="3" a="1"/>
  <c r="K252" i="3" a="1"/>
  <c r="J227" i="3" a="1"/>
  <c r="F229" i="3" a="1"/>
  <c r="E204" i="3" a="1"/>
  <c r="L177" i="3" a="1"/>
  <c r="J153" i="3" a="1"/>
  <c r="L153" i="3" a="1"/>
  <c r="L128" i="3" a="1"/>
  <c r="I102" i="3" a="1"/>
  <c r="G78" i="3" a="1"/>
  <c r="E79" i="3" a="1"/>
  <c r="E53" i="3" a="1"/>
  <c r="N312" i="3" a="1"/>
  <c r="G287" i="3" a="1"/>
  <c r="K262" i="3" a="1"/>
  <c r="E236" i="3" a="1"/>
  <c r="F212" i="3" a="1"/>
  <c r="J162" i="3" a="1"/>
  <c r="J137" i="3" a="1"/>
  <c r="E111" i="3" a="1"/>
  <c r="F86" i="3" a="1"/>
  <c r="P60" i="3" a="1"/>
  <c r="G250" i="3" a="1"/>
  <c r="E250" i="3" a="1"/>
  <c r="K301" i="3" a="1"/>
  <c r="E225" i="3" a="1"/>
  <c r="E200" i="3" a="1"/>
  <c r="G231" i="3" a="1"/>
  <c r="F230" i="3" a="1"/>
  <c r="E126" i="3" a="1"/>
  <c r="K100" i="3" a="1"/>
  <c r="I101" i="3" a="1"/>
  <c r="E216" i="3" a="1"/>
  <c r="I42" i="3" a="1"/>
  <c r="F42" i="3" a="1"/>
  <c r="J141" i="3" a="1"/>
  <c r="G166" i="3" a="1"/>
  <c r="I116" i="3" a="1"/>
  <c r="G116" i="3" a="1"/>
  <c r="E6" i="3" a="1"/>
  <c r="F55" i="3" a="1"/>
  <c r="I48" i="3" a="1"/>
  <c r="F142" i="3" a="1"/>
  <c r="J135" i="3" a="1"/>
  <c r="J8" i="3" a="1"/>
  <c r="I172" i="3" a="1"/>
  <c r="P49" i="3" a="1"/>
  <c r="L97" i="3" a="1"/>
  <c r="M292" i="3" a="1"/>
  <c r="J192" i="3" a="1"/>
  <c r="G65" i="3" a="1"/>
  <c r="I96" i="3" a="1"/>
  <c r="L199" i="3" a="1"/>
  <c r="I16" i="3" a="1"/>
  <c r="J206" i="3" a="1"/>
  <c r="O61" i="3" a="1"/>
  <c r="F11" i="3" a="1"/>
  <c r="F194" i="3" a="1"/>
  <c r="L6" i="3" a="1"/>
  <c r="E268" i="3" a="1"/>
  <c r="L181" i="3" a="1"/>
  <c r="E233" i="3" a="1"/>
  <c r="E245" i="3" a="1"/>
  <c r="F294" i="3" a="1"/>
  <c r="F4" i="3" a="1"/>
  <c r="G106" i="3" a="1"/>
  <c r="K124" i="3" a="1"/>
  <c r="J18" i="3" a="1"/>
  <c r="G48" i="3" a="1"/>
  <c r="E12" i="3" a="1"/>
  <c r="F306" i="3" a="1"/>
  <c r="I221" i="3" a="1"/>
  <c r="K260" i="3" a="1"/>
  <c r="F182" i="3" a="1"/>
  <c r="F93" i="3" a="1"/>
  <c r="F281" i="3" a="1"/>
  <c r="G12" i="3" a="1"/>
  <c r="H55" i="3" a="1"/>
  <c r="G3" i="3" a="1"/>
  <c r="J224" i="3" a="1"/>
  <c r="J65" i="3" a="1"/>
  <c r="J83" i="3" a="1"/>
  <c r="E68" i="3" a="1"/>
  <c r="I105" i="3" a="1"/>
  <c r="E256" i="3" a="1"/>
  <c r="H50" i="3" a="1"/>
  <c r="N58" i="3" a="1"/>
  <c r="G90" i="3" a="1"/>
  <c r="L165" i="3" a="1"/>
  <c r="J272" i="3" a="1"/>
  <c r="I67" i="3" a="1"/>
  <c r="L240" i="3" a="1"/>
  <c r="G309" i="3" a="1"/>
  <c r="J219" i="3" a="1"/>
  <c r="E3" i="3" a="1"/>
  <c r="G44" i="3" a="1"/>
  <c r="F258" i="3" a="1"/>
  <c r="I224" i="3" a="1"/>
  <c r="F170" i="3" a="1"/>
  <c r="E284" i="3" a="1"/>
  <c r="I258" i="3" a="1"/>
  <c r="L295" i="3" a="1"/>
  <c r="J305" i="3" a="1"/>
  <c r="F284" i="3" a="1"/>
  <c r="F221" i="3" a="1"/>
  <c r="I19" i="3" a="1"/>
  <c r="G107" i="3" a="1"/>
  <c r="L208" i="3" a="1"/>
  <c r="E272" i="3" a="1"/>
  <c r="N49" i="3" a="1"/>
  <c r="L155" i="3" a="1"/>
  <c r="M294" i="3" a="1"/>
  <c r="I20" i="3" a="1"/>
  <c r="J294" i="3" a="1"/>
  <c r="F71" i="3" a="1"/>
  <c r="G294" i="3" a="1"/>
  <c r="J144" i="3" a="1"/>
  <c r="G146" i="3" a="1"/>
  <c r="I50" i="3" a="1"/>
  <c r="I33" i="3" a="1"/>
  <c r="I31" i="3" a="1"/>
  <c r="G29" i="3" a="1"/>
  <c r="G35" i="3" a="1"/>
  <c r="G30" i="3" a="1"/>
  <c r="J303" i="3" a="1"/>
  <c r="F304" i="3" a="1"/>
  <c r="F278" i="3" a="1"/>
  <c r="L254" i="3" a="1"/>
  <c r="J228" i="3" a="1"/>
  <c r="I228" i="3" a="1"/>
  <c r="J203" i="3" a="1"/>
  <c r="L178" i="3" a="1"/>
  <c r="I152" i="3" a="1"/>
  <c r="I154" i="3" a="1"/>
  <c r="K129" i="3" a="1"/>
  <c r="I103" i="3" a="1"/>
  <c r="G79" i="3" a="1"/>
  <c r="J79" i="3" a="1"/>
  <c r="I54" i="3" a="1"/>
  <c r="G312" i="3" a="1"/>
  <c r="K287" i="3" a="1"/>
  <c r="J262" i="3" a="1"/>
  <c r="L236" i="3" a="1"/>
  <c r="E212" i="3" a="1"/>
  <c r="L161" i="3" a="1"/>
  <c r="I136" i="3" a="1"/>
  <c r="L111" i="3" a="1"/>
  <c r="L86" i="3" a="1"/>
  <c r="N60" i="3" a="1"/>
  <c r="L250" i="3" a="1"/>
  <c r="K226" i="3" a="1"/>
  <c r="K250" i="3" a="1"/>
  <c r="J226" i="3" a="1"/>
  <c r="I200" i="3" a="1"/>
  <c r="L230" i="3" a="1"/>
  <c r="E231" i="3" a="1"/>
  <c r="F100" i="3" a="1"/>
  <c r="G76" i="3" a="1"/>
  <c r="K75" i="3" a="1"/>
  <c r="E42" i="3" a="1"/>
  <c r="E215" i="3" a="1"/>
  <c r="L241" i="3" a="1"/>
  <c r="F141" i="3" a="1"/>
  <c r="E166" i="3" a="1"/>
  <c r="G66" i="3" a="1"/>
  <c r="F91" i="3" a="1"/>
  <c r="M297" i="3" a="1"/>
  <c r="K270" i="3" a="1"/>
  <c r="J10" i="3" a="1"/>
  <c r="F206" i="3" a="1"/>
  <c r="E198" i="3" a="1"/>
  <c r="L196" i="3" a="1"/>
  <c r="L222" i="3" a="1"/>
  <c r="K94" i="3" a="1"/>
  <c r="G40" i="3" a="1"/>
  <c r="L12" i="3" a="1"/>
  <c r="F70" i="3" a="1"/>
  <c r="F220" i="3" a="1"/>
  <c r="G222" i="3" a="1"/>
  <c r="K174" i="3" a="1"/>
  <c r="E25" i="3" a="1"/>
  <c r="G248" i="3" a="1"/>
  <c r="K183" i="3" a="1"/>
  <c r="F69" i="3" a="1"/>
  <c r="I82" i="3" a="1"/>
  <c r="J309" i="3" a="1"/>
  <c r="I168" i="3" a="1"/>
  <c r="K145" i="3" a="1"/>
  <c r="E280" i="3" a="1"/>
  <c r="J173" i="3" a="1"/>
  <c r="M290" i="3" a="1"/>
  <c r="E224" i="3" a="1"/>
  <c r="E271" i="3" a="1"/>
  <c r="E105" i="3" a="1"/>
  <c r="F17" i="3" a="1"/>
  <c r="L306" i="3" a="1"/>
  <c r="K97" i="3" a="1"/>
  <c r="I156" i="3" a="1"/>
  <c r="L149" i="3" a="1"/>
  <c r="G208" i="3" a="1"/>
  <c r="N47" i="3" a="1"/>
  <c r="G167" i="3" a="1"/>
  <c r="J248" i="3" a="1"/>
  <c r="J196" i="3" a="1"/>
  <c r="E206" i="3" a="1"/>
  <c r="L299" i="3" a="1"/>
  <c r="E56" i="3" a="1"/>
  <c r="F310" i="3" a="1"/>
  <c r="L198" i="3" a="1"/>
  <c r="G268" i="3" a="1"/>
  <c r="K72" i="3" a="1"/>
  <c r="G258" i="3" a="1"/>
  <c r="G299" i="3" a="1"/>
  <c r="G121" i="3" a="1"/>
  <c r="L96" i="3" a="1"/>
  <c r="N306" i="3" a="1"/>
  <c r="E142" i="3" a="1"/>
  <c r="F41" i="3" a="1"/>
  <c r="J308" i="3" a="1"/>
  <c r="G165" i="3" a="1"/>
  <c r="G190" i="3" a="1"/>
  <c r="I115" i="3" a="1"/>
  <c r="O59" i="3" a="1"/>
  <c r="K10" i="3" a="1"/>
  <c r="K257" i="3" a="1"/>
  <c r="F219" i="3" a="1"/>
  <c r="G219" i="3" a="1"/>
  <c r="E145" i="3" a="1"/>
  <c r="E84" i="3" a="1"/>
  <c r="L134" i="3" a="1"/>
  <c r="F31" i="3" a="1"/>
  <c r="E30" i="3" a="1"/>
  <c r="E29" i="3" a="1"/>
  <c r="E28" i="3" a="1"/>
  <c r="I28" i="3" a="1"/>
  <c r="F30" i="3" a="1"/>
  <c r="F303" i="3" a="1"/>
  <c r="F302" i="3" a="1"/>
  <c r="K279" i="3" a="1"/>
  <c r="E254" i="3" a="1"/>
  <c r="J229" i="3" a="1"/>
  <c r="L228" i="3" a="1"/>
  <c r="K204" i="3" a="1"/>
  <c r="I178" i="3" a="1"/>
  <c r="F152" i="3" a="1"/>
  <c r="K128" i="3" a="1"/>
  <c r="O27" i="3" a="1"/>
  <c r="N37" i="3" a="1"/>
  <c r="E37" i="3" a="1"/>
  <c r="G36" i="3" a="1"/>
  <c r="J36" i="3" a="1"/>
  <c r="E302" i="3" a="1"/>
  <c r="E304" i="3" a="1"/>
  <c r="F279" i="3" a="1"/>
  <c r="K254" i="3" a="1"/>
  <c r="G227" i="3" a="1"/>
  <c r="K203" i="3" a="1"/>
  <c r="L203" i="3" a="1"/>
  <c r="G178" i="3" a="1"/>
  <c r="G154" i="3" a="1"/>
  <c r="J127" i="3" a="1"/>
  <c r="E128" i="3" a="1"/>
  <c r="E103" i="3" a="1"/>
  <c r="L79" i="3" a="1"/>
  <c r="O52" i="3" a="1"/>
  <c r="H53" i="3" a="1"/>
  <c r="G311" i="3" a="1"/>
  <c r="I287" i="3" a="1"/>
  <c r="E262" i="3" a="1"/>
  <c r="K211" i="3" a="1"/>
  <c r="I35" i="3" a="1"/>
  <c r="K35" i="3" a="1"/>
  <c r="K36" i="3" a="1"/>
  <c r="I29" i="3" a="1"/>
  <c r="L37" i="3" a="1"/>
  <c r="N304" i="3" a="1"/>
  <c r="K278" i="3" a="1"/>
  <c r="K277" i="3" a="1"/>
  <c r="I252" i="3" a="1"/>
  <c r="I229" i="3" a="1"/>
  <c r="J202" i="3" a="1"/>
  <c r="F202" i="3" a="1"/>
  <c r="F177" i="3" a="1"/>
  <c r="F154" i="3" a="1"/>
  <c r="J129" i="3" a="1"/>
  <c r="E129" i="3" a="1"/>
  <c r="K102" i="3" a="1"/>
  <c r="F77" i="3" a="1"/>
  <c r="O53" i="3" a="1"/>
  <c r="F53" i="3" a="1"/>
  <c r="M312" i="3" a="1"/>
  <c r="F287" i="3" a="1"/>
  <c r="G262" i="3" a="1"/>
  <c r="J212" i="3" a="1"/>
  <c r="I187" i="3" a="1"/>
  <c r="J161" i="3" a="1"/>
  <c r="E137" i="3" a="1"/>
  <c r="J111" i="3" a="1"/>
  <c r="E86" i="3" a="1"/>
  <c r="E62" i="3" a="1"/>
  <c r="E226" i="3" a="1"/>
  <c r="J300" i="3" a="1"/>
  <c r="F225" i="3" a="1"/>
  <c r="J125" i="3" a="1"/>
  <c r="F76" i="3" a="1"/>
  <c r="L126" i="3" a="1"/>
  <c r="L201" i="3" a="1"/>
  <c r="J175" i="3" a="1"/>
  <c r="K151" i="3" a="1"/>
  <c r="P42" i="3" a="1"/>
  <c r="E266" i="3" a="1"/>
  <c r="N291" i="3" a="1"/>
  <c r="J266" i="3" a="1"/>
  <c r="K141" i="3" a="1"/>
  <c r="E140" i="3" a="1"/>
  <c r="K91" i="3" a="1"/>
  <c r="G91" i="3" a="1"/>
  <c r="E255" i="3" a="1"/>
  <c r="L233" i="3" a="1"/>
  <c r="E181" i="3" a="1"/>
  <c r="K6" i="3" a="1"/>
  <c r="L185" i="3" a="1"/>
  <c r="L205" i="3" a="1"/>
  <c r="F269" i="3" a="1"/>
  <c r="L11" i="3" a="1"/>
  <c r="J273" i="3" a="1"/>
  <c r="E69" i="3" a="1"/>
  <c r="G196" i="3" a="1"/>
  <c r="L219" i="3" a="1"/>
  <c r="I273" i="3" a="1"/>
  <c r="L274" i="3" a="1"/>
  <c r="I267" i="3" a="1"/>
  <c r="K258" i="3" a="1"/>
  <c r="G47" i="3" a="1"/>
  <c r="F65" i="3" a="1"/>
  <c r="G144" i="3" a="1"/>
  <c r="G11" i="3" a="1"/>
  <c r="J9" i="3" a="1"/>
  <c r="L255" i="3" a="1"/>
  <c r="L85" i="3" a="1"/>
  <c r="P3" i="3" a="1"/>
  <c r="J271" i="3" a="1"/>
  <c r="F268" i="3" a="1"/>
  <c r="G156" i="3" a="1"/>
  <c r="F143" i="3" a="1"/>
  <c r="G9" i="3" a="1"/>
  <c r="F58" i="3" a="1"/>
  <c r="F98" i="3" a="1"/>
  <c r="E133" i="3" a="1"/>
  <c r="F217" i="3" a="1"/>
  <c r="L124" i="3" a="1"/>
  <c r="K284" i="3" a="1"/>
  <c r="K74" i="3" a="1"/>
  <c r="L70" i="3" a="1"/>
  <c r="I271" i="3" a="1"/>
  <c r="E148" i="3" a="1"/>
  <c r="G49" i="3" a="1"/>
  <c r="G67" i="3" a="1"/>
  <c r="N305" i="3" a="1"/>
  <c r="E131" i="3" a="1"/>
  <c r="F7" i="3" a="1"/>
  <c r="E10" i="3" a="1"/>
  <c r="O44" i="3" a="1"/>
  <c r="F119" i="3" a="1"/>
  <c r="F260" i="3" a="1"/>
  <c r="G307" i="3" a="1"/>
  <c r="G194" i="3" a="1"/>
  <c r="P57" i="3" a="1"/>
  <c r="L25" i="3" a="1"/>
  <c r="M308" i="3" a="1"/>
  <c r="I185" i="3" a="1"/>
  <c r="J234" i="3" a="1"/>
  <c r="F282" i="3" a="1"/>
  <c r="L207" i="3" a="1"/>
  <c r="J190" i="3" a="1"/>
  <c r="I99" i="3" a="1"/>
  <c r="F272" i="3" a="1"/>
  <c r="J124" i="3" a="1"/>
  <c r="K220" i="3" a="1"/>
  <c r="G172" i="3" a="1"/>
  <c r="G267" i="3" a="1"/>
  <c r="L284" i="3" a="1"/>
  <c r="K240" i="3" a="1"/>
  <c r="L183" i="3" a="1"/>
  <c r="F133" i="3" a="1"/>
  <c r="F274" i="3" a="1"/>
  <c r="L184" i="3" a="1"/>
  <c r="F197" i="3" a="1"/>
  <c r="I165" i="3" a="1"/>
  <c r="G96" i="3" a="1"/>
  <c r="I97" i="3" a="1"/>
  <c r="K185" i="3" a="1"/>
  <c r="G168" i="3" a="1"/>
  <c r="F248" i="3" a="1"/>
  <c r="L157" i="3" a="1"/>
  <c r="K158" i="3" a="1"/>
  <c r="I130" i="3" a="1"/>
  <c r="F33" i="3" a="1"/>
  <c r="K29" i="3" a="1"/>
  <c r="I36" i="3" a="1"/>
  <c r="L30" i="3" a="1"/>
  <c r="G33" i="3" a="1"/>
  <c r="F37" i="3" a="1"/>
  <c r="I32" i="3" a="1"/>
  <c r="J304" i="3" a="1"/>
  <c r="I279" i="3" a="1"/>
  <c r="J279" i="3" a="1"/>
  <c r="G254" i="3" a="1"/>
  <c r="E227" i="3" a="1"/>
  <c r="G203" i="3" a="1"/>
  <c r="K202" i="3" a="1"/>
  <c r="I177" i="3" a="1"/>
  <c r="I153" i="3" a="1"/>
  <c r="F129" i="3" a="1"/>
  <c r="K103" i="3" a="1"/>
  <c r="E104" i="3" a="1"/>
  <c r="K79" i="3" a="1"/>
  <c r="E52" i="3" a="1"/>
  <c r="F52" i="3" a="1"/>
  <c r="J311" i="3" a="1"/>
  <c r="K261" i="3" a="1"/>
  <c r="J236" i="3" a="1"/>
  <c r="E211" i="3" a="1"/>
  <c r="L186" i="3" a="1"/>
  <c r="G161" i="3" a="1"/>
  <c r="G136" i="3" a="1"/>
  <c r="F112" i="3" a="1"/>
  <c r="P62" i="3" a="1"/>
  <c r="N300" i="3" a="1"/>
  <c r="G300" i="3" a="1"/>
  <c r="I225" i="3" a="1"/>
  <c r="G275" i="3" a="1"/>
  <c r="G101" i="3" a="1"/>
  <c r="L231" i="3" a="1"/>
  <c r="L125" i="3" a="1"/>
  <c r="K126" i="3" a="1"/>
  <c r="I76" i="3" a="1"/>
  <c r="G126" i="3" a="1"/>
  <c r="K266" i="3" a="1"/>
  <c r="G266" i="3" a="1"/>
  <c r="N42" i="3" a="1"/>
  <c r="L291" i="3" a="1"/>
  <c r="I215" i="3" a="1"/>
  <c r="F166" i="3" a="1"/>
  <c r="F66" i="3" a="1"/>
  <c r="E18" i="3" a="1"/>
  <c r="E221" i="3" a="1"/>
  <c r="E183" i="3" a="1"/>
  <c r="G94" i="3" a="1"/>
  <c r="F240" i="3" a="1"/>
  <c r="L243" i="3" a="1"/>
  <c r="E172" i="3" a="1"/>
  <c r="L148" i="3" a="1"/>
  <c r="G174" i="3" a="1"/>
  <c r="I181" i="3" a="1"/>
  <c r="K83" i="3" a="1"/>
  <c r="F255" i="3" a="1"/>
  <c r="G123" i="3" a="1"/>
  <c r="K299" i="3" a="1"/>
  <c r="I257" i="3" a="1"/>
  <c r="J194" i="3" a="1"/>
  <c r="I46" i="3" a="1"/>
  <c r="E11" i="3" a="1"/>
  <c r="L297" i="3" a="1"/>
  <c r="K82" i="3" a="1"/>
  <c r="I4" i="3" a="1"/>
  <c r="J267" i="3" a="1"/>
  <c r="K281" i="3" a="1"/>
  <c r="G197" i="3" a="1"/>
  <c r="I6" i="3" a="1"/>
  <c r="L247" i="3" a="1"/>
  <c r="E120" i="3" a="1"/>
  <c r="J220" i="3" a="1"/>
  <c r="F195" i="3" a="1"/>
  <c r="E49" i="3" a="1"/>
  <c r="I49" i="3" a="1"/>
  <c r="K234" i="3" a="1"/>
  <c r="K119" i="3" a="1"/>
  <c r="J222" i="3" a="1"/>
  <c r="L68" i="3" a="1"/>
  <c r="E20" i="3" a="1"/>
  <c r="E4" i="3" a="1"/>
  <c r="K143" i="3" a="1"/>
  <c r="K207" i="3" a="1"/>
  <c r="L192" i="3" a="1"/>
  <c r="F95" i="3" a="1"/>
  <c r="L19" i="3" a="1"/>
  <c r="L234" i="3" a="1"/>
  <c r="F256" i="3" a="1"/>
  <c r="F285" i="3" a="1"/>
  <c r="L309" i="3" a="1"/>
  <c r="E158" i="3" a="1"/>
  <c r="E297" i="3" a="1"/>
  <c r="G173" i="3" a="1"/>
  <c r="E285" i="3" a="1"/>
  <c r="F192" i="3" a="1"/>
  <c r="J184" i="3" a="1"/>
  <c r="I269" i="3" a="1"/>
  <c r="E258" i="3" a="1"/>
  <c r="M298" i="3" a="1"/>
  <c r="G93" i="3" a="1"/>
  <c r="J307" i="3" a="1"/>
  <c r="J84" i="3" a="1"/>
  <c r="N41" i="3" a="1"/>
  <c r="K160" i="3" a="1"/>
  <c r="F5" i="3" a="1"/>
  <c r="G234" i="3" a="1"/>
  <c r="E65" i="3" a="1"/>
  <c r="K71" i="3" a="1"/>
  <c r="K293" i="3" a="1"/>
  <c r="L24" i="3" a="1"/>
  <c r="K120" i="3" a="1"/>
  <c r="J195" i="3" a="1"/>
  <c r="J244" i="3" a="1"/>
  <c r="L171" i="3" a="1"/>
  <c r="G82" i="3" a="1"/>
  <c r="J72" i="3" a="1"/>
  <c r="L117" i="3" a="1"/>
  <c r="G122" i="3" a="1"/>
  <c r="J210" i="3" a="1"/>
  <c r="L310" i="3" a="1"/>
  <c r="L280" i="3" a="1"/>
  <c r="J209" i="3" a="1"/>
  <c r="E33" i="3" a="1"/>
  <c r="J29" i="3" a="1"/>
  <c r="F34" i="3" a="1"/>
  <c r="E31" i="3" a="1"/>
  <c r="K34" i="3" a="1"/>
  <c r="G31" i="3" a="1"/>
  <c r="E303" i="3" a="1"/>
  <c r="G279" i="3" a="1"/>
  <c r="K253" i="3" a="1"/>
  <c r="L252" i="3" a="1"/>
  <c r="E229" i="3" a="1"/>
  <c r="F204" i="3" a="1"/>
  <c r="J177" i="3" a="1"/>
  <c r="K177" i="3" a="1"/>
  <c r="E154" i="3" a="1"/>
  <c r="L129" i="3" a="1"/>
  <c r="G102" i="3" a="1"/>
  <c r="E102" i="3" a="1"/>
  <c r="I78" i="3" a="1"/>
  <c r="N54" i="3" a="1"/>
  <c r="N311" i="3" a="1"/>
  <c r="K286" i="3" a="1"/>
  <c r="F262" i="3" a="1"/>
  <c r="I237" i="3" a="1"/>
  <c r="L212" i="3" a="1"/>
  <c r="J186" i="3" a="1"/>
  <c r="F161" i="3" a="1"/>
  <c r="E136" i="3" a="1"/>
  <c r="K86" i="3" a="1"/>
  <c r="N62" i="3" a="1"/>
  <c r="L226" i="3" a="1"/>
  <c r="N301" i="3" a="1"/>
  <c r="F300" i="3" a="1"/>
  <c r="E275" i="3" a="1"/>
  <c r="K231" i="3" a="1"/>
  <c r="E175" i="3" a="1"/>
  <c r="K175" i="3" a="1"/>
  <c r="E76" i="3" a="1"/>
  <c r="F176" i="3" a="1"/>
  <c r="L175" i="3" a="1"/>
  <c r="K241" i="3" a="1"/>
  <c r="G241" i="3" a="1"/>
  <c r="E291" i="3" a="1"/>
  <c r="L216" i="3" a="1"/>
  <c r="K166" i="3" a="1"/>
  <c r="J166" i="3" a="1"/>
  <c r="E66" i="3" a="1"/>
  <c r="K24" i="3" a="1"/>
  <c r="G232" i="3" a="1"/>
  <c r="E146" i="3" a="1"/>
  <c r="E43" i="3" a="1"/>
  <c r="E94" i="3" a="1"/>
  <c r="K17" i="3" a="1"/>
  <c r="E55" i="3" a="1"/>
  <c r="N25" i="3" a="1"/>
  <c r="E267" i="3" a="1"/>
  <c r="K208" i="3" a="1"/>
  <c r="L182" i="3" a="1"/>
  <c r="J143" i="3" a="1"/>
  <c r="O15" i="3" a="1"/>
  <c r="N293" i="3" a="1"/>
  <c r="K99" i="3" a="1"/>
  <c r="L4" i="3" a="1"/>
  <c r="G105" i="3" a="1"/>
  <c r="K292" i="3" a="1"/>
  <c r="L294" i="3" a="1"/>
  <c r="H58" i="3" a="1"/>
  <c r="F174" i="3" a="1"/>
  <c r="L17" i="3" a="1"/>
  <c r="L65" i="3" a="1"/>
  <c r="G292" i="3" a="1"/>
  <c r="H56" i="3" a="1"/>
  <c r="L193" i="3" a="1"/>
  <c r="J156" i="3" a="1"/>
  <c r="N299" i="3" a="1"/>
  <c r="F193" i="3" a="1"/>
  <c r="F157" i="3" a="1"/>
  <c r="J280" i="3" a="1"/>
  <c r="G296" i="3" a="1"/>
  <c r="N307" i="3" a="1"/>
  <c r="J198" i="3" a="1"/>
  <c r="J171" i="3" a="1"/>
  <c r="E21" i="3" a="1"/>
  <c r="E290" i="3" a="1"/>
  <c r="G180" i="3" a="1"/>
  <c r="L206" i="3" a="1"/>
  <c r="H47" i="3" a="1"/>
  <c r="K290" i="3" a="1"/>
  <c r="E24" i="3" a="1"/>
  <c r="G198" i="3" a="1"/>
  <c r="E45" i="3" a="1"/>
  <c r="G109" i="3" a="1"/>
  <c r="K134" i="3" a="1"/>
  <c r="P41" i="3" a="1"/>
  <c r="I72" i="3" a="1"/>
  <c r="K68" i="3" a="1"/>
  <c r="I232" i="3" a="1"/>
  <c r="L133" i="3" a="1"/>
  <c r="K7" i="3" a="1"/>
  <c r="E9" i="3" a="1"/>
  <c r="G92" i="3" a="1"/>
  <c r="E307" i="3" a="1"/>
  <c r="K93" i="3" a="1"/>
  <c r="L13" i="3" a="1"/>
  <c r="L69" i="3" a="1"/>
  <c r="K20" i="3" a="1"/>
  <c r="K294" i="3" a="1"/>
  <c r="K108" i="3" a="1"/>
  <c r="F123" i="3" a="1"/>
  <c r="E190" i="3" a="1"/>
  <c r="E281" i="3" a="1"/>
  <c r="F298" i="3" a="1"/>
  <c r="G17" i="3" a="1"/>
  <c r="I217" i="3" a="1"/>
  <c r="G224" i="3" a="1"/>
  <c r="K273" i="3" a="1"/>
  <c r="K85" i="3" a="1"/>
  <c r="G7" i="3" a="1"/>
  <c r="L98" i="3" a="1"/>
  <c r="G265" i="3" a="1"/>
  <c r="K244" i="3" a="1"/>
  <c r="F6" i="3" a="1"/>
  <c r="K196" i="3" a="1"/>
  <c r="L296" i="3" a="1"/>
  <c r="L218" i="3" a="1"/>
  <c r="F280" i="3" a="1"/>
  <c r="N310" i="3" a="1"/>
  <c r="J25" i="3" a="1"/>
  <c r="F35" i="3" a="1"/>
  <c r="K30" i="3" a="1"/>
  <c r="L29" i="3" a="1"/>
  <c r="P27" i="3" a="1"/>
  <c r="J37" i="3" a="1"/>
  <c r="M304" i="3" a="1"/>
  <c r="E278" i="3" a="1"/>
  <c r="J252" i="3" a="1"/>
  <c r="J253" i="3" a="1"/>
  <c r="K227" i="3" a="1"/>
  <c r="L204" i="3" a="1"/>
  <c r="J178" i="3" a="1"/>
  <c r="K179" i="3" a="1"/>
  <c r="G153" i="3" a="1"/>
  <c r="I128" i="3" a="1"/>
  <c r="I104" i="3" a="1"/>
  <c r="L102" i="3" a="1"/>
  <c r="I79" i="3" a="1"/>
  <c r="N52" i="3" a="1"/>
  <c r="L312" i="3" a="1"/>
  <c r="J287" i="3" a="1"/>
  <c r="L262" i="3" a="1"/>
  <c r="F237" i="3" a="1"/>
  <c r="K212" i="3" a="1"/>
  <c r="I186" i="3" a="1"/>
  <c r="E161" i="3" a="1"/>
  <c r="L136" i="3" a="1"/>
  <c r="J87" i="3" a="1"/>
  <c r="I62" i="3" a="1"/>
  <c r="F226" i="3" a="1"/>
  <c r="I275" i="3" a="1"/>
  <c r="L275" i="3" a="1"/>
  <c r="L251" i="3" a="1"/>
  <c r="J201" i="3" a="1"/>
  <c r="I151" i="3" a="1"/>
  <c r="E150" i="3" a="1"/>
  <c r="L200" i="3" a="1"/>
  <c r="G230" i="3" a="1"/>
  <c r="I230" i="3" a="1"/>
  <c r="K291" i="3" a="1"/>
  <c r="G80" i="3" a="1"/>
  <c r="J81" i="3" a="1"/>
  <c r="O42" i="3" a="1"/>
  <c r="K191" i="3" a="1"/>
  <c r="L140" i="3" a="1"/>
  <c r="E67" i="3" a="1"/>
  <c r="M25" i="3" a="1"/>
  <c r="J145" i="3" a="1"/>
  <c r="L169" i="3" a="1"/>
  <c r="O40" i="3" a="1"/>
  <c r="G115" i="3" a="1"/>
  <c r="F25" i="3" a="1"/>
  <c r="G181" i="3" a="1"/>
  <c r="G21" i="3" a="1"/>
  <c r="L244" i="3" a="1"/>
  <c r="F271" i="3" a="1"/>
  <c r="F243" i="3" a="1"/>
  <c r="K221" i="3" a="1"/>
  <c r="K16" i="3" a="1"/>
  <c r="F165" i="3" a="1"/>
  <c r="I210" i="3" a="1"/>
  <c r="L272" i="3" a="1"/>
  <c r="J197" i="3" a="1"/>
  <c r="J30" i="3" a="1"/>
  <c r="G27" i="3" a="1"/>
  <c r="K28" i="3" a="1"/>
  <c r="M37" i="3" a="1"/>
  <c r="G37" i="3" a="1"/>
  <c r="M302" i="3" a="1"/>
  <c r="L278" i="3" a="1"/>
  <c r="I253" i="3" a="1"/>
  <c r="J254" i="3" a="1"/>
  <c r="K228" i="3" a="1"/>
  <c r="I203" i="3" a="1"/>
  <c r="J179" i="3" a="1"/>
  <c r="E177" i="3" a="1"/>
  <c r="K154" i="3" a="1"/>
  <c r="F127" i="3" a="1"/>
  <c r="G104" i="3" a="1"/>
  <c r="J104" i="3" a="1"/>
  <c r="F78" i="3" a="1"/>
  <c r="N53" i="3" a="1"/>
  <c r="K312" i="3" a="1"/>
  <c r="G286" i="3" a="1"/>
  <c r="J261" i="3" a="1"/>
  <c r="E237" i="3" a="1"/>
  <c r="J211" i="3" a="1"/>
  <c r="G186" i="3" a="1"/>
  <c r="F162" i="3" a="1"/>
  <c r="K111" i="3" a="1"/>
  <c r="I87" i="3" a="1"/>
  <c r="G60" i="3" a="1"/>
  <c r="F250" i="3" a="1"/>
  <c r="F301" i="3" a="1"/>
  <c r="E301" i="3" a="1"/>
  <c r="L276" i="3" a="1"/>
  <c r="K150" i="3" a="1"/>
  <c r="E125" i="3" a="1"/>
  <c r="G125" i="3" a="1"/>
  <c r="F231" i="3" a="1"/>
  <c r="I231" i="3" a="1"/>
  <c r="J231" i="3" a="1"/>
  <c r="I81" i="3" a="1"/>
  <c r="K246" i="3" a="1"/>
  <c r="I241" i="3" a="1"/>
  <c r="G216" i="3" a="1"/>
  <c r="G141" i="3" a="1"/>
  <c r="J66" i="3" a="1"/>
  <c r="J91" i="3" a="1"/>
  <c r="G16" i="3" a="1"/>
  <c r="J148" i="3" a="1"/>
  <c r="G171" i="3" a="1"/>
  <c r="F305" i="3" a="1"/>
  <c r="F130" i="3" a="1"/>
  <c r="K5" i="3" a="1"/>
  <c r="K105" i="3" a="1"/>
  <c r="I22" i="3" a="1"/>
  <c r="I169" i="3" a="1"/>
  <c r="P43" i="3" a="1"/>
  <c r="G207" i="3" a="1"/>
  <c r="L90" i="3" a="1"/>
  <c r="O50" i="3" a="1"/>
  <c r="I119" i="3" a="1"/>
  <c r="O41" i="3" a="1"/>
  <c r="F82" i="3" a="1"/>
  <c r="G110" i="3" a="1"/>
  <c r="I70" i="3" a="1"/>
  <c r="E247" i="3" a="1"/>
  <c r="K123" i="3" a="1"/>
  <c r="L95" i="3" a="1"/>
  <c r="L18" i="3" a="1"/>
  <c r="E208" i="3" a="1"/>
  <c r="G70" i="3" a="1"/>
  <c r="I47" i="3" a="1"/>
  <c r="G159" i="3" a="1"/>
  <c r="N292" i="3" a="1"/>
  <c r="L107" i="3" a="1"/>
  <c r="H41" i="3" a="1"/>
  <c r="G61" i="3" a="1"/>
  <c r="E107" i="3" a="1"/>
  <c r="J134" i="3" a="1"/>
  <c r="K248" i="3" a="1"/>
  <c r="E132" i="3" a="1"/>
  <c r="M307" i="3" a="1"/>
  <c r="F16" i="3" a="1"/>
  <c r="L156" i="3" a="1"/>
  <c r="E157" i="3" a="1"/>
  <c r="J6" i="3" a="1"/>
  <c r="G120" i="3" a="1"/>
  <c r="J193" i="3" a="1"/>
  <c r="E50" i="3" a="1"/>
  <c r="H46" i="3" a="1"/>
  <c r="O43" i="3" a="1"/>
  <c r="L73" i="3" a="1"/>
  <c r="G259" i="3" a="1"/>
  <c r="L20" i="3" a="1"/>
  <c r="G43" i="3" a="1"/>
  <c r="K109" i="3" a="1"/>
  <c r="K117" i="3" a="1"/>
  <c r="I71" i="3" a="1"/>
  <c r="E115" i="3" a="1"/>
  <c r="L271" i="3" a="1"/>
  <c r="G46" i="3" a="1"/>
  <c r="G135" i="3" a="1"/>
  <c r="I108" i="3" a="1"/>
  <c r="F283" i="3" a="1"/>
  <c r="F46" i="3" a="1"/>
  <c r="J19" i="3" a="1"/>
  <c r="F146" i="3" a="1"/>
  <c r="F106" i="3" a="1"/>
  <c r="G242" i="3" a="1"/>
  <c r="E168" i="3" a="1"/>
  <c r="G10" i="3" a="1"/>
  <c r="L197" i="3" a="1"/>
  <c r="J20" i="3" a="1"/>
  <c r="J259" i="3" a="1"/>
  <c r="F48" i="3" a="1"/>
  <c r="E44" i="3" a="1"/>
  <c r="E265" i="3" a="1"/>
  <c r="I133" i="3" a="1"/>
  <c r="L217" i="3" a="1"/>
  <c r="L221" i="3" a="1"/>
  <c r="F94" i="3" a="1"/>
  <c r="L94" i="3" a="1"/>
  <c r="F97" i="3" a="1"/>
  <c r="H48" i="3" a="1"/>
  <c r="I149" i="3" a="1"/>
  <c r="J249" i="3" a="1"/>
  <c r="G260" i="3" a="1"/>
  <c r="J282" i="3" a="1"/>
  <c r="L31" i="3" a="1"/>
  <c r="L302" i="3" a="1"/>
  <c r="I254" i="3" a="1"/>
  <c r="E202" i="3" a="1"/>
  <c r="F153" i="3" a="1"/>
  <c r="F103" i="3" a="1"/>
  <c r="G52" i="3" a="1"/>
  <c r="F286" i="3" a="1"/>
  <c r="G236" i="3" a="1"/>
  <c r="K161" i="3" a="1"/>
  <c r="G112" i="3" a="1"/>
  <c r="H60" i="3" a="1"/>
  <c r="K300" i="3" a="1"/>
  <c r="E201" i="3" a="1"/>
  <c r="L176" i="3" a="1"/>
  <c r="L76" i="3" a="1"/>
  <c r="F125" i="3" a="1"/>
  <c r="J291" i="3" a="1"/>
  <c r="G191" i="3" a="1"/>
  <c r="G140" i="3" a="1"/>
  <c r="G142" i="3" a="1"/>
  <c r="E117" i="3" a="1"/>
  <c r="E119" i="3" a="1"/>
  <c r="I146" i="3" a="1"/>
  <c r="I10" i="3" a="1"/>
  <c r="I173" i="3" a="1"/>
  <c r="L8" i="3" a="1"/>
  <c r="G217" i="3" a="1"/>
  <c r="I249" i="3" a="1"/>
  <c r="K222" i="3" a="1"/>
  <c r="K142" i="3" a="1"/>
  <c r="F265" i="3" a="1"/>
  <c r="I107" i="3" a="1"/>
  <c r="J69" i="3" a="1"/>
  <c r="J105" i="3" a="1"/>
  <c r="I147" i="3" a="1"/>
  <c r="L142" i="3" a="1"/>
  <c r="E217" i="3" a="1"/>
  <c r="K9" i="3" a="1"/>
  <c r="J292" i="3" a="1"/>
  <c r="F105" i="3" a="1"/>
  <c r="E195" i="3" a="1"/>
  <c r="E248" i="3" a="1"/>
  <c r="G305" i="3" a="1"/>
  <c r="K121" i="3" a="1"/>
  <c r="I134" i="3" a="1"/>
  <c r="E234" i="3" a="1"/>
  <c r="E130" i="3" a="1"/>
  <c r="J284" i="3" a="1"/>
  <c r="G243" i="3" a="1"/>
  <c r="O46" i="3" a="1"/>
  <c r="I117" i="3" a="1"/>
  <c r="E218" i="3" a="1"/>
  <c r="E106" i="3" a="1"/>
  <c r="G69" i="3" a="1"/>
  <c r="G210" i="3" a="1"/>
  <c r="E219" i="3" a="1"/>
  <c r="N298" i="3" a="1"/>
  <c r="F158" i="3" a="1"/>
  <c r="J258" i="3" a="1"/>
  <c r="E196" i="3" a="1"/>
  <c r="I170" i="3" a="1"/>
  <c r="I167" i="3" a="1"/>
  <c r="F249" i="3" a="1"/>
  <c r="J85" i="3" a="1"/>
  <c r="P15" i="3" a="1"/>
  <c r="E61" i="3" a="1"/>
  <c r="I106" i="3" a="1"/>
  <c r="F148" i="3" a="1"/>
  <c r="J71" i="3" a="1"/>
  <c r="L248" i="3" a="1"/>
  <c r="F51" i="3" a="1"/>
  <c r="E205" i="3" a="1"/>
  <c r="G55" i="3" a="1"/>
  <c r="I98" i="3" a="1"/>
  <c r="J269" i="3" a="1"/>
  <c r="J283" i="3" a="1"/>
  <c r="F307" i="3" a="1"/>
  <c r="H40" i="3" a="1"/>
  <c r="K297" i="3" a="1"/>
  <c r="F118" i="3" a="1"/>
  <c r="L146" i="3" a="1"/>
  <c r="F187" i="3" a="1"/>
  <c r="E73" i="3" a="1"/>
  <c r="F136" i="3" a="1"/>
  <c r="H44" i="3" a="1"/>
  <c r="I12" i="3" a="1"/>
  <c r="J218" i="3" a="1"/>
  <c r="F253" i="3" a="1"/>
  <c r="F107" i="3" a="1"/>
  <c r="I207" i="3" a="1"/>
  <c r="N48" i="3" a="1"/>
  <c r="I242" i="3" a="1"/>
  <c r="K310" i="3" a="1"/>
  <c r="F36" i="3" a="1"/>
  <c r="K302" i="3" a="1"/>
  <c r="E252" i="3" a="1"/>
  <c r="L202" i="3" a="1"/>
  <c r="E153" i="3" a="1"/>
  <c r="J103" i="3" a="1"/>
  <c r="P52" i="3" a="1"/>
  <c r="E286" i="3" a="1"/>
  <c r="G237" i="3" a="1"/>
  <c r="K162" i="3" a="1"/>
  <c r="E112" i="3" a="1"/>
  <c r="O60" i="3" a="1"/>
  <c r="I276" i="3" a="1"/>
  <c r="I176" i="3" a="1"/>
  <c r="F150" i="3" a="1"/>
  <c r="J200" i="3" a="1"/>
  <c r="J150" i="3" a="1"/>
  <c r="J246" i="3" a="1"/>
  <c r="E191" i="3" a="1"/>
  <c r="E91" i="3" a="1"/>
  <c r="J157" i="3" a="1"/>
  <c r="I84" i="3" a="1"/>
  <c r="J95" i="3" a="1"/>
  <c r="J149" i="3" a="1"/>
  <c r="O45" i="3" a="1"/>
  <c r="I85" i="3" a="1"/>
  <c r="F295" i="3" a="1"/>
  <c r="J107" i="3" a="1"/>
  <c r="I160" i="3" a="1"/>
  <c r="E295" i="3" a="1"/>
  <c r="K184" i="3" a="1"/>
  <c r="K155" i="3" a="1"/>
  <c r="L249" i="3" a="1"/>
  <c r="G240" i="3" a="1"/>
  <c r="G308" i="3" a="1"/>
  <c r="E273" i="3" a="1"/>
  <c r="I194" i="3" a="1"/>
  <c r="F132" i="3" a="1"/>
  <c r="F145" i="3" a="1"/>
  <c r="F90" i="3" a="1"/>
  <c r="K282" i="3" a="1"/>
  <c r="L173" i="3" a="1"/>
  <c r="G13" i="3" a="1"/>
  <c r="G95" i="3" a="1"/>
  <c r="E92" i="3" a="1"/>
  <c r="L260" i="3" a="1"/>
  <c r="N43" i="3" a="1"/>
  <c r="G5" i="3" a="1"/>
  <c r="K232" i="3" a="1"/>
  <c r="F135" i="3" a="1"/>
  <c r="G108" i="3" a="1"/>
  <c r="E182" i="3" a="1"/>
  <c r="F296" i="3" a="1"/>
  <c r="J92" i="3" a="1"/>
  <c r="E155" i="3" a="1"/>
  <c r="N297" i="3" a="1"/>
  <c r="N45" i="3" a="1"/>
  <c r="J118" i="3" a="1"/>
  <c r="J235" i="3" a="1"/>
  <c r="F9" i="3" a="1"/>
  <c r="G68" i="3" a="1"/>
  <c r="F44" i="3" a="1"/>
  <c r="L265" i="3" a="1"/>
  <c r="L23" i="3" a="1"/>
  <c r="J115" i="3" a="1"/>
  <c r="F293" i="3" a="1"/>
  <c r="G45" i="3" a="1"/>
  <c r="J94" i="3" a="1"/>
  <c r="F147" i="3" a="1"/>
  <c r="I73" i="3" a="1"/>
  <c r="G223" i="3" a="1"/>
  <c r="K283" i="3" a="1"/>
  <c r="I142" i="3" a="1"/>
  <c r="J223" i="3" a="1"/>
  <c r="G132" i="3" a="1"/>
  <c r="L225" i="3" a="1"/>
  <c r="F292" i="3" a="1"/>
  <c r="L159" i="3" a="1"/>
  <c r="M311" i="3" a="1"/>
  <c r="G291" i="3" a="1"/>
  <c r="O47" i="3" a="1"/>
  <c r="K110" i="3" a="1"/>
  <c r="J122" i="3" a="1"/>
  <c r="E220" i="3" a="1"/>
  <c r="I43" i="3" a="1"/>
  <c r="F104" i="3" a="1"/>
  <c r="F266" i="3" a="1"/>
  <c r="P45" i="3" a="1"/>
  <c r="E17" i="3" a="1"/>
  <c r="F233" i="3" a="1"/>
  <c r="L293" i="3" a="1"/>
  <c r="E180" i="3" a="1"/>
  <c r="F27" i="3" a="1"/>
  <c r="E27" i="3" a="1"/>
  <c r="M303" i="3" a="1"/>
  <c r="E253" i="3" a="1"/>
  <c r="J204" i="3" a="1"/>
  <c r="J154" i="3" a="1"/>
  <c r="G103" i="3" a="1"/>
  <c r="I52" i="3" a="1"/>
  <c r="J286" i="3" a="1"/>
  <c r="I212" i="3" a="1"/>
  <c r="I161" i="3" a="1"/>
  <c r="G111" i="3" a="1"/>
  <c r="F60" i="3" a="1"/>
  <c r="E276" i="3" a="1"/>
  <c r="E100" i="3" a="1"/>
  <c r="F101" i="3" a="1"/>
  <c r="G151" i="3" a="1"/>
  <c r="I266" i="3" a="1"/>
  <c r="M291" i="3" a="1"/>
  <c r="E141" i="3" a="1"/>
  <c r="L66" i="3" a="1"/>
  <c r="M305" i="3" a="1"/>
  <c r="I5" i="3" a="1"/>
  <c r="O55" i="3" a="1"/>
  <c r="G255" i="3" a="1"/>
  <c r="M306" i="3" a="1"/>
  <c r="G145" i="3" a="1"/>
  <c r="M299" i="3" a="1"/>
  <c r="E260" i="3" a="1"/>
  <c r="I90" i="3" a="1"/>
  <c r="J5" i="3" a="1"/>
  <c r="I255" i="3" a="1"/>
  <c r="K122" i="3" a="1"/>
  <c r="K193" i="3" a="1"/>
  <c r="G274" i="3" a="1"/>
  <c r="J155" i="3" a="1"/>
  <c r="E71" i="3" a="1"/>
  <c r="N309" i="3" a="1"/>
  <c r="L242" i="3" a="1"/>
  <c r="I196" i="3" a="1"/>
  <c r="K73" i="3" a="1"/>
  <c r="I285" i="3" a="1"/>
  <c r="J172" i="3" a="1"/>
  <c r="J123" i="3" a="1"/>
  <c r="K243" i="3" a="1"/>
  <c r="G130" i="3" a="1"/>
  <c r="I131" i="3" a="1"/>
  <c r="F122" i="3" a="1"/>
  <c r="J68" i="3" a="1"/>
  <c r="L130" i="3" a="1"/>
  <c r="I281" i="3" a="1"/>
  <c r="G155" i="3" a="1"/>
  <c r="I93" i="3" a="1"/>
  <c r="G4" i="3" a="1"/>
  <c r="J268" i="3" a="1"/>
  <c r="I58" i="3" a="1"/>
  <c r="G8" i="3" a="1"/>
  <c r="J22" i="3" a="1"/>
  <c r="F223" i="3" a="1"/>
  <c r="J221" i="3" a="1"/>
  <c r="E95" i="3" a="1"/>
  <c r="F309" i="3" a="1"/>
  <c r="K107" i="3" a="1"/>
  <c r="E193" i="3" a="1"/>
  <c r="L257" i="3" a="1"/>
  <c r="E123" i="3" a="1"/>
  <c r="L145" i="3" a="1"/>
  <c r="F47" i="3" a="1"/>
  <c r="N56" i="3" a="1"/>
  <c r="F83" i="3" a="1"/>
  <c r="E223" i="3" a="1"/>
  <c r="J90" i="3" a="1"/>
  <c r="K230" i="3" a="1"/>
  <c r="I159" i="3" a="1"/>
  <c r="J208" i="3" a="1"/>
  <c r="M309" i="3" a="1"/>
  <c r="F110" i="3" a="1"/>
  <c r="I223" i="3" a="1"/>
  <c r="K209" i="3" a="1"/>
  <c r="L298" i="3" a="1"/>
  <c r="L259" i="3" a="1"/>
  <c r="E235" i="3" a="1"/>
  <c r="G302" i="3" a="1"/>
  <c r="E300" i="3" a="1"/>
  <c r="G199" i="3" a="1"/>
  <c r="L258" i="3" a="1"/>
  <c r="F23" i="3" a="1"/>
  <c r="J255" i="3" a="1"/>
  <c r="P54" i="3" a="1"/>
  <c r="J100" i="3" a="1"/>
  <c r="F117" i="3" a="1"/>
  <c r="F196" i="3" a="1"/>
  <c r="K195" i="3" a="1"/>
  <c r="I9" i="3" a="1"/>
  <c r="E16" i="3" a="1"/>
  <c r="L33" i="3" a="1"/>
  <c r="F29" i="3" a="1"/>
  <c r="J278" i="3" a="1"/>
  <c r="L253" i="3" a="1"/>
  <c r="K178" i="3" a="1"/>
  <c r="I129" i="3" a="1"/>
  <c r="K104" i="3" a="1"/>
  <c r="G53" i="3" a="1"/>
  <c r="I286" i="3" a="1"/>
  <c r="F211" i="3" a="1"/>
  <c r="I162" i="3" a="1"/>
  <c r="K112" i="3" a="1"/>
  <c r="I60" i="3" a="1"/>
  <c r="K251" i="3" a="1"/>
  <c r="J75" i="3" a="1"/>
  <c r="I100" i="3" a="1"/>
  <c r="J126" i="3" a="1"/>
  <c r="F216" i="3" a="1"/>
  <c r="H42" i="3" a="1"/>
  <c r="J191" i="3" a="1"/>
  <c r="K66" i="3" a="1"/>
  <c r="K198" i="3" a="1"/>
  <c r="K274" i="3" a="1"/>
  <c r="E70" i="3" a="1"/>
  <c r="J13" i="3" a="1"/>
  <c r="K190" i="3" a="1"/>
  <c r="I283" i="3" a="1"/>
  <c r="K69" i="3" a="1"/>
  <c r="L235" i="3" a="1"/>
  <c r="F273" i="3" a="1"/>
  <c r="L122" i="3" a="1"/>
  <c r="L290" i="3" a="1"/>
  <c r="I3" i="3" a="1"/>
  <c r="M295" i="3" a="1"/>
  <c r="J133" i="3" a="1"/>
  <c r="I8" i="3" a="1"/>
  <c r="G235" i="3" a="1"/>
  <c r="K165" i="3" a="1"/>
  <c r="E124" i="3" a="1"/>
  <c r="K70" i="3" a="1"/>
  <c r="I57" i="3" a="1"/>
  <c r="L109" i="3" a="1"/>
  <c r="I198" i="3" a="1"/>
  <c r="I265" i="3" a="1"/>
  <c r="G195" i="3" a="1"/>
  <c r="J180" i="3" a="1"/>
  <c r="F242" i="3" a="1"/>
  <c r="G205" i="3" a="1"/>
  <c r="I244" i="3" a="1"/>
  <c r="E83" i="3" a="1"/>
  <c r="G73" i="3" a="1"/>
  <c r="M293" i="3" a="1"/>
  <c r="P59" i="3" a="1"/>
  <c r="F297" i="3" a="1"/>
  <c r="F45" i="3" a="1"/>
  <c r="J232" i="3" a="1"/>
  <c r="J146" i="3" a="1"/>
  <c r="E15" i="3" a="1"/>
  <c r="J247" i="3" a="1"/>
  <c r="G149" i="3" a="1"/>
  <c r="I56" i="3" a="1"/>
  <c r="G150" i="3" a="1"/>
  <c r="J147" i="3" a="1"/>
  <c r="K245" i="3" a="1"/>
  <c r="G306" i="3" a="1"/>
  <c r="K77" i="3" a="1"/>
  <c r="J199" i="3" a="1"/>
  <c r="J21" i="3" a="1"/>
  <c r="L256" i="3" a="1"/>
  <c r="I111" i="3" a="1"/>
  <c r="F276" i="3" a="1"/>
  <c r="L195" i="3" a="1"/>
  <c r="E121" i="3" a="1"/>
  <c r="L9" i="3" a="1"/>
  <c r="L143" i="3" a="1"/>
  <c r="F257" i="3" a="1"/>
  <c r="N44" i="3" a="1"/>
  <c r="L35" i="3" a="1"/>
  <c r="L32" i="3" a="1"/>
  <c r="I277" i="3" a="1"/>
  <c r="I227" i="3" a="1"/>
  <c r="G177" i="3" a="1"/>
  <c r="G129" i="3" a="1"/>
  <c r="K78" i="3" a="1"/>
  <c r="H54" i="3" a="1"/>
  <c r="E287" i="3" a="1"/>
  <c r="L211" i="3" a="1"/>
  <c r="G162" i="3" a="1"/>
  <c r="J112" i="3" a="1"/>
  <c r="I251" i="3" a="1"/>
  <c r="G301" i="3" a="1"/>
  <c r="J230" i="3" a="1"/>
  <c r="I201" i="3" a="1"/>
  <c r="K76" i="3" a="1"/>
  <c r="F81" i="3" a="1"/>
  <c r="E241" i="3" a="1"/>
  <c r="J215" i="3" a="1"/>
  <c r="F116" i="3" a="1"/>
  <c r="G192" i="3" a="1"/>
  <c r="P58" i="3" a="1"/>
  <c r="K23" i="3" a="1"/>
  <c r="L16" i="3" a="1"/>
  <c r="I155" i="3" a="1"/>
  <c r="F232" i="3" a="1"/>
  <c r="L282" i="3" a="1"/>
  <c r="F183" i="3" a="1"/>
  <c r="J242" i="3" a="1"/>
  <c r="F73" i="3" a="1"/>
  <c r="N59" i="3" a="1"/>
  <c r="I69" i="3" a="1"/>
  <c r="E8" i="3" a="1"/>
  <c r="J260" i="3" a="1"/>
  <c r="L281" i="3" a="1"/>
  <c r="I40" i="3" a="1"/>
  <c r="F13" i="3" a="1"/>
  <c r="L232" i="3" a="1"/>
  <c r="K92" i="3" a="1"/>
  <c r="E294" i="3" a="1"/>
  <c r="F99" i="3" a="1"/>
  <c r="L168" i="3" a="1"/>
  <c r="E47" i="3" a="1"/>
  <c r="I256" i="3" a="1"/>
  <c r="I144" i="3" a="1"/>
  <c r="L84" i="3" a="1"/>
  <c r="K285" i="3" a="1"/>
  <c r="E167" i="3" a="1"/>
  <c r="K256" i="3" a="1"/>
  <c r="K148" i="3" a="1"/>
  <c r="G97" i="3" a="1"/>
  <c r="J158" i="3" a="1"/>
  <c r="E5" i="3" a="1"/>
  <c r="O3" i="3" a="1"/>
  <c r="E222" i="3" a="1"/>
  <c r="J67" i="3" a="1"/>
  <c r="G19" i="3" a="1"/>
  <c r="F259" i="3" a="1"/>
  <c r="E135" i="3" a="1"/>
  <c r="G244" i="3" a="1"/>
  <c r="K144" i="3" a="1"/>
  <c r="K173" i="3" a="1"/>
  <c r="E110" i="3" a="1"/>
  <c r="E75" i="3" a="1"/>
  <c r="F8" i="3" a="1"/>
  <c r="J297" i="3" a="1"/>
  <c r="N50" i="3" a="1"/>
  <c r="G133" i="3" a="1"/>
  <c r="I284" i="3" a="1"/>
  <c r="L83" i="3" a="1"/>
  <c r="G253" i="3" a="1"/>
  <c r="F251" i="3" a="1"/>
  <c r="K247" i="3" a="1"/>
  <c r="E165" i="3" a="1"/>
  <c r="J174" i="3" a="1"/>
  <c r="K296" i="3" a="1"/>
  <c r="J237" i="3" a="1"/>
  <c r="K116" i="3" a="1"/>
  <c r="L119" i="3" a="1"/>
  <c r="N295" i="3" a="1"/>
  <c r="O51" i="3" a="1"/>
  <c r="L268" i="3" a="1"/>
  <c r="F222" i="3" a="1"/>
  <c r="G32" i="3" a="1"/>
  <c r="J31" i="3" a="1"/>
  <c r="F277" i="3" a="1"/>
  <c r="F227" i="3" a="1"/>
  <c r="I179" i="3" a="1"/>
  <c r="K127" i="3" a="1"/>
  <c r="J77" i="3" a="1"/>
  <c r="H52" i="3" a="1"/>
  <c r="L286" i="3" a="1"/>
  <c r="I211" i="3" a="1"/>
  <c r="E162" i="3" a="1"/>
  <c r="F87" i="3" a="1"/>
  <c r="J225" i="3" a="1"/>
  <c r="J276" i="3" a="1"/>
  <c r="I125" i="3" a="1"/>
  <c r="K101" i="3" a="1"/>
  <c r="F201" i="3" a="1"/>
  <c r="J241" i="3" a="1"/>
  <c r="J80" i="3" a="1"/>
  <c r="L191" i="3" a="1"/>
  <c r="I91" i="3" a="1"/>
  <c r="E192" i="3" a="1"/>
  <c r="K255" i="3" a="1"/>
  <c r="K65" i="3" a="1"/>
  <c r="F24" i="3" a="1"/>
  <c r="G281" i="3" a="1"/>
  <c r="G160" i="3" a="1"/>
  <c r="G57" i="3" a="1"/>
  <c r="H43" i="3" a="1"/>
  <c r="J119" i="3" a="1"/>
  <c r="F299" i="3" a="1"/>
  <c r="J74" i="3" a="1"/>
  <c r="J240" i="3" a="1"/>
  <c r="L144" i="3" a="1"/>
  <c r="I199" i="3" a="1"/>
  <c r="J233" i="3" a="1"/>
  <c r="N296" i="3" a="1"/>
  <c r="I209" i="3" a="1"/>
  <c r="E210" i="3" a="1"/>
  <c r="G41" i="3" a="1"/>
  <c r="G209" i="3" a="1"/>
  <c r="G290" i="3" a="1"/>
  <c r="L92" i="3" a="1"/>
  <c r="L167" i="3" a="1"/>
  <c r="E74" i="3" a="1"/>
  <c r="E197" i="3" a="1"/>
  <c r="K268" i="3" a="1"/>
  <c r="P40" i="3" a="1"/>
  <c r="E108" i="3" a="1"/>
  <c r="L132" i="3" a="1"/>
  <c r="J245" i="3" a="1"/>
  <c r="I122" i="3" a="1"/>
  <c r="K19" i="3" a="1"/>
  <c r="L180" i="3" a="1"/>
  <c r="L220" i="3" a="1"/>
  <c r="G118" i="3" a="1"/>
  <c r="G25" i="3" a="1"/>
  <c r="I51" i="3" a="1"/>
  <c r="J296" i="3" a="1"/>
  <c r="L118" i="3" a="1"/>
  <c r="K8" i="3" a="1"/>
  <c r="L115" i="3" a="1"/>
  <c r="E242" i="3" a="1"/>
  <c r="J160" i="3" a="1"/>
  <c r="J136" i="3" a="1"/>
  <c r="K307" i="3" a="1"/>
  <c r="J110" i="3" a="1"/>
  <c r="L187" i="3" a="1"/>
  <c r="G215" i="3" a="1"/>
  <c r="F180" i="3" a="1"/>
  <c r="J98" i="3" a="1"/>
  <c r="I233" i="3" a="1"/>
  <c r="E305" i="3" a="1"/>
  <c r="F32" i="3" a="1"/>
  <c r="K11" i="3" a="1"/>
  <c r="F68" i="3" a="1"/>
  <c r="L28" i="3" a="1"/>
  <c r="J33" i="3" a="1"/>
  <c r="L279" i="3" a="1"/>
  <c r="G229" i="3" a="1"/>
  <c r="L179" i="3" a="1"/>
  <c r="E127" i="3" a="1"/>
  <c r="E78" i="3" a="1"/>
  <c r="P53" i="3" a="1"/>
  <c r="I262" i="3" a="1"/>
  <c r="G211" i="3" a="1"/>
  <c r="K136" i="3" a="1"/>
  <c r="L87" i="3" a="1"/>
  <c r="E251" i="3" a="1"/>
  <c r="K225" i="3" a="1"/>
  <c r="L100" i="3" a="1"/>
  <c r="I75" i="3" a="1"/>
  <c r="F175" i="3" a="1"/>
  <c r="F241" i="3" a="1"/>
  <c r="L81" i="3" a="1"/>
  <c r="F191" i="3" a="1"/>
  <c r="F140" i="3" a="1"/>
  <c r="P44" i="3" a="1"/>
  <c r="I234" i="3" a="1"/>
  <c r="I55" i="3" a="1"/>
  <c r="E51" i="3" a="1"/>
  <c r="G157" i="3" a="1"/>
  <c r="I183" i="3" a="1"/>
  <c r="I11" i="3" a="1"/>
  <c r="O48" i="3" a="1"/>
  <c r="G169" i="3" a="1"/>
  <c r="J82" i="3" a="1"/>
  <c r="L209" i="3" a="1"/>
  <c r="J207" i="3" a="1"/>
  <c r="H59" i="3" a="1"/>
  <c r="K133" i="3" a="1"/>
  <c r="J24" i="3" a="1"/>
  <c r="E99" i="3" a="1"/>
  <c r="L131" i="3" a="1"/>
  <c r="E118" i="3" a="1"/>
  <c r="J16" i="3" a="1"/>
  <c r="E269" i="3" a="1"/>
  <c r="K180" i="3" a="1"/>
  <c r="G20" i="3" a="1"/>
  <c r="L7" i="3" a="1"/>
  <c r="J121" i="3" a="1"/>
  <c r="E244" i="3" a="1"/>
  <c r="F131" i="3" a="1"/>
  <c r="G218" i="3" a="1"/>
  <c r="F134" i="3" a="1"/>
  <c r="G269" i="3" a="1"/>
  <c r="K199" i="3" a="1"/>
  <c r="K206" i="3" a="1"/>
  <c r="I17" i="3" a="1"/>
  <c r="K4" i="3" a="1"/>
  <c r="O58" i="3" a="1"/>
  <c r="H61" i="3" a="1"/>
  <c r="E23" i="3" a="1"/>
  <c r="F270" i="3" a="1"/>
  <c r="G247" i="3" a="1"/>
  <c r="P61" i="3" a="1"/>
  <c r="K132" i="3" a="1"/>
  <c r="E72" i="3" a="1"/>
  <c r="G270" i="3" a="1"/>
  <c r="F210" i="3" a="1"/>
  <c r="I280" i="3" a="1"/>
  <c r="E171" i="3" a="1"/>
  <c r="L308" i="3" a="1"/>
  <c r="G272" i="3" a="1"/>
  <c r="F159" i="3" a="1"/>
  <c r="P55" i="3" a="1"/>
  <c r="E207" i="3" a="1"/>
  <c r="L285" i="3" a="1"/>
  <c r="G249" i="3" a="1"/>
  <c r="K130" i="3" a="1"/>
  <c r="J274" i="3" a="1"/>
  <c r="J169" i="3" a="1"/>
  <c r="K298" i="3" a="1"/>
  <c r="K21" i="3" a="1"/>
  <c r="E312" i="3" a="1"/>
  <c r="G221" i="3" a="1"/>
  <c r="O62" i="3" a="1"/>
  <c r="G72" i="3" a="1"/>
  <c r="K18" i="3" a="1"/>
  <c r="E160" i="3" a="1"/>
  <c r="P56" i="3" a="1"/>
  <c r="G62" i="3" a="1"/>
  <c r="G276" i="3" a="1"/>
  <c r="H51" i="3" a="1"/>
  <c r="F20" i="3" a="1"/>
  <c r="K172" i="3" a="1"/>
  <c r="K170" i="3" a="1"/>
  <c r="G298" i="3" a="1"/>
  <c r="L160" i="3" a="1"/>
  <c r="I44" i="3" a="1"/>
  <c r="I27" i="3" a="1"/>
  <c r="K32" i="3" a="1"/>
  <c r="J277" i="3" a="1"/>
  <c r="E228" i="3" a="1"/>
  <c r="G179" i="3" a="1"/>
  <c r="J128" i="3" a="1"/>
  <c r="L77" i="3" a="1"/>
  <c r="G54" i="3" a="1"/>
  <c r="I261" i="3" a="1"/>
  <c r="K186" i="3" a="1"/>
  <c r="I137" i="3" a="1"/>
  <c r="K87" i="3" a="1"/>
  <c r="E230" i="3" a="1"/>
  <c r="I226" i="3" a="1"/>
  <c r="J151" i="3" a="1"/>
  <c r="G201" i="3" a="1"/>
  <c r="F126" i="3" a="1"/>
  <c r="E81" i="3" a="1"/>
  <c r="I80" i="3" a="1"/>
  <c r="K215" i="3" a="1"/>
  <c r="J140" i="3" a="1"/>
  <c r="G131" i="3" a="1"/>
  <c r="K223" i="3" a="1"/>
  <c r="E296" i="3" a="1"/>
  <c r="K147" i="3" a="1"/>
  <c r="I192" i="3" a="1"/>
  <c r="G170" i="3" a="1"/>
  <c r="G245" i="3" a="1"/>
  <c r="L147" i="3" a="1"/>
  <c r="H49" i="3" a="1"/>
  <c r="J185" i="3" a="1"/>
  <c r="G284" i="3" a="1"/>
  <c r="L123" i="3" a="1"/>
  <c r="F247" i="3" a="1"/>
  <c r="K98" i="3" a="1"/>
  <c r="I260" i="3" a="1"/>
  <c r="O56" i="3" a="1"/>
  <c r="F234" i="3" a="1"/>
  <c r="E98" i="3" a="1"/>
  <c r="L21" i="3" a="1"/>
  <c r="G310" i="3" a="1"/>
  <c r="J130" i="3" a="1"/>
  <c r="L106" i="3" a="1"/>
  <c r="M310" i="3" a="1"/>
  <c r="K149" i="3" a="1"/>
  <c r="K156" i="3" a="1"/>
  <c r="L269" i="3" a="1"/>
  <c r="G256" i="3" a="1"/>
  <c r="G119" i="3" a="1"/>
  <c r="L158" i="3" a="1"/>
  <c r="F173" i="3" a="1"/>
  <c r="G85" i="3" a="1"/>
  <c r="P51" i="3" a="1"/>
  <c r="E293" i="3" a="1"/>
  <c r="L245" i="3" a="1"/>
  <c r="E134" i="3" a="1"/>
  <c r="N51" i="3" a="1"/>
  <c r="J159" i="3" a="1"/>
  <c r="K217" i="3" a="1"/>
  <c r="N55" i="3" a="1"/>
  <c r="I61" i="3" a="1"/>
  <c r="K67" i="3" a="1"/>
  <c r="J120" i="3" a="1"/>
  <c r="F190" i="3" a="1"/>
  <c r="K272" i="3" a="1"/>
  <c r="F181" i="3" a="1"/>
  <c r="L10" i="3" a="1"/>
  <c r="L121" i="3" a="1"/>
  <c r="F85" i="3" a="1"/>
  <c r="I21" i="3" a="1"/>
  <c r="L5" i="3" a="1"/>
  <c r="F61" i="3" a="1"/>
  <c r="E96" i="3" a="1"/>
  <c r="K12" i="3" a="1"/>
  <c r="K236" i="3" a="1"/>
  <c r="F290" i="3" a="1"/>
  <c r="K237" i="3" a="1"/>
  <c r="G100" i="3" a="1"/>
  <c r="K22" i="3" a="1"/>
  <c r="K249" i="3" a="1"/>
  <c r="K106" i="3" a="1"/>
  <c r="I190" i="3" a="1"/>
  <c r="K159" i="3" a="1"/>
  <c r="L304" i="3" a="1"/>
  <c r="I208" i="3" a="1"/>
  <c r="L93" i="3" a="1"/>
  <c r="G282" i="3" a="1"/>
  <c r="J12" i="3" a="1"/>
  <c r="E34" i="3" a="1"/>
  <c r="J32" i="3" a="1"/>
  <c r="L277" i="3" a="1"/>
  <c r="K229" i="3" a="1"/>
  <c r="E178" i="3" a="1"/>
  <c r="I127" i="3" a="1"/>
  <c r="E77" i="3" a="1"/>
  <c r="F54" i="3" a="1"/>
  <c r="F261" i="3" a="1"/>
  <c r="K187" i="3" a="1"/>
  <c r="G137" i="3" a="1"/>
  <c r="G86" i="3" a="1"/>
  <c r="L300" i="3" a="1"/>
  <c r="L301" i="3" a="1"/>
  <c r="I126" i="3" a="1"/>
  <c r="I175" i="3" a="1"/>
  <c r="K201" i="3" a="1"/>
  <c r="F246" i="3" a="1"/>
  <c r="L246" i="3" a="1"/>
  <c r="I141" i="3" a="1"/>
  <c r="K140" i="3" a="1"/>
  <c r="J256" i="3" a="1"/>
  <c r="G206" i="3" a="1"/>
  <c r="K131" i="3" a="1"/>
  <c r="E173" i="3" a="1"/>
  <c r="K95" i="3" a="1"/>
  <c r="K235" i="3" a="1"/>
  <c r="G18" i="3" a="1"/>
  <c r="J109" i="3" a="1"/>
  <c r="M296" i="3" a="1"/>
  <c r="J265" i="3" a="1"/>
  <c r="I41" i="3" a="1"/>
  <c r="N294" i="3" a="1"/>
  <c r="I145" i="3" a="1"/>
  <c r="G134" i="3" a="1"/>
  <c r="F67" i="3" a="1"/>
  <c r="I45" i="3" a="1"/>
  <c r="J281" i="3" a="1"/>
  <c r="E149" i="3" a="1"/>
  <c r="F50" i="3" a="1"/>
  <c r="I124" i="3" a="1"/>
  <c r="E194" i="3" a="1"/>
  <c r="F172" i="3" a="1"/>
  <c r="J170" i="3" a="1"/>
  <c r="J295" i="3" a="1"/>
  <c r="I83" i="3" a="1"/>
  <c r="J106" i="3" a="1"/>
  <c r="I110" i="3" a="1"/>
  <c r="J285" i="3" a="1"/>
  <c r="K210" i="3" a="1"/>
  <c r="L120" i="3" a="1"/>
  <c r="G233" i="3" a="1"/>
  <c r="G71" i="3" a="1"/>
  <c r="J86" i="3" a="1"/>
  <c r="F235" i="3" a="1"/>
  <c r="F109" i="3" a="1"/>
  <c r="L72" i="3" a="1"/>
  <c r="K295" i="3" a="1"/>
  <c r="I240" i="3" a="1"/>
  <c r="G193" i="3" a="1"/>
  <c r="G202" i="3" a="1"/>
  <c r="E101" i="3" a="1"/>
  <c r="F167" i="3" a="1"/>
  <c r="L71" i="3" a="1"/>
  <c r="L105" i="3" a="1"/>
  <c r="L135" i="3" a="1"/>
  <c r="F203" i="3" a="1"/>
  <c r="K182" i="3" a="1"/>
  <c r="F168" i="3" a="1"/>
  <c r="F3" i="3" a="1"/>
  <c r="F160" i="3" a="1"/>
  <c r="I193" i="3" a="1"/>
  <c r="K31" i="3" a="1"/>
  <c r="K37" i="3" a="1"/>
  <c r="I278" i="3" a="1"/>
  <c r="G228" i="3" a="1"/>
  <c r="F179" i="3" a="1"/>
  <c r="G128" i="3" a="1"/>
  <c r="L78" i="3" a="1"/>
  <c r="J312" i="3" a="1"/>
  <c r="G261" i="3" a="1"/>
  <c r="J187" i="3" a="1"/>
  <c r="F137" i="3" a="1"/>
  <c r="G87" i="3" a="1"/>
  <c r="J250" i="3" a="1"/>
  <c r="J251" i="3" a="1"/>
  <c r="L101" i="3" a="1"/>
  <c r="F75" i="3" a="1"/>
  <c r="E176" i="3" a="1"/>
  <c r="G42" i="3" a="1"/>
  <c r="F291" i="3" a="1"/>
  <c r="F215" i="3" a="1"/>
  <c r="I140" i="3" a="1"/>
  <c r="K181" i="3" a="1"/>
  <c r="K84" i="3" a="1"/>
  <c r="F108" i="3" a="1"/>
  <c r="J182" i="3" a="1"/>
  <c r="O49" i="3" a="1"/>
  <c r="K242" i="3" a="1"/>
  <c r="G124" i="3" a="1"/>
  <c r="G273" i="3" a="1"/>
  <c r="G59" i="3" a="1"/>
  <c r="K233" i="3" a="1"/>
  <c r="N15" i="3" a="1"/>
  <c r="E274" i="3" a="1"/>
  <c r="F155" i="3" a="1"/>
  <c r="E7" i="3" a="1"/>
  <c r="I23" i="3" a="1"/>
  <c r="I7" i="3" a="1"/>
  <c r="I282" i="3" a="1"/>
  <c r="F74" i="3" a="1"/>
  <c r="E159" i="3" a="1"/>
  <c r="F115" i="3" a="1"/>
  <c r="L190" i="3" a="1"/>
  <c r="I95" i="3" a="1"/>
  <c r="J298" i="3" a="1"/>
  <c r="F40" i="3" a="1"/>
  <c r="I197" i="3" a="1"/>
  <c r="J167" i="3" a="1"/>
  <c r="G283" i="3" a="1"/>
  <c r="L194" i="3" a="1"/>
  <c r="E85" i="3" a="1"/>
  <c r="N57" i="3" a="1"/>
  <c r="E144" i="3" a="1"/>
  <c r="G84" i="3" a="1"/>
  <c r="E13" i="3" a="1"/>
  <c r="G23" i="3" a="1"/>
  <c r="E298" i="3" a="1"/>
  <c r="E82" i="3" a="1"/>
  <c r="J102" i="3" a="1"/>
  <c r="G295" i="3" a="1"/>
  <c r="E282" i="3" a="1"/>
  <c r="I59" i="3" a="1"/>
  <c r="L311" i="3" a="1"/>
  <c r="F200" i="3" a="1"/>
  <c r="I118" i="3" a="1"/>
  <c r="L283" i="3" a="1"/>
  <c r="J108" i="3" a="1"/>
  <c r="I270" i="3" a="1"/>
  <c r="E36" i="3" a="1"/>
  <c r="N303" i="3" a="1"/>
  <c r="E279" i="3" a="1"/>
  <c r="L227" i="3" a="1"/>
  <c r="E179" i="3" a="1"/>
  <c r="G127" i="3" a="1"/>
  <c r="I77" i="3" a="1"/>
  <c r="F312" i="3" a="1"/>
  <c r="E261" i="3" a="1"/>
  <c r="G187" i="3" a="1"/>
  <c r="L137" i="3" a="1"/>
  <c r="E87" i="3" a="1"/>
  <c r="J301" i="3" a="1"/>
  <c r="K275" i="3" a="1"/>
  <c r="L150" i="3" a="1"/>
  <c r="G175" i="3" a="1"/>
  <c r="J101" i="3" a="1"/>
  <c r="J216" i="3" a="1"/>
  <c r="L80" i="3" a="1"/>
  <c r="I166" i="3" a="1"/>
  <c r="L91" i="3" a="1"/>
  <c r="F49" i="3" a="1"/>
  <c r="E209" i="3" a="1"/>
  <c r="I272" i="3" a="1"/>
  <c r="E257" i="3" a="1"/>
  <c r="G185" i="3" a="1"/>
  <c r="J70" i="3" a="1"/>
  <c r="K169" i="3" a="1"/>
  <c r="K205" i="3" a="1"/>
  <c r="J183" i="3" a="1"/>
  <c r="F184" i="3" a="1"/>
  <c r="E22" i="3" a="1"/>
  <c r="I109" i="3" a="1"/>
  <c r="N3" i="3" a="1"/>
  <c r="G58" i="3" a="1"/>
  <c r="G22" i="3" a="1"/>
  <c r="I222" i="3" a="1"/>
  <c r="F308" i="3" a="1"/>
  <c r="I143" i="3" a="1"/>
  <c r="N40" i="3" a="1"/>
  <c r="J181" i="3" a="1"/>
  <c r="J132" i="3" a="1"/>
  <c r="E41" i="3" a="1"/>
  <c r="L174" i="3" a="1"/>
  <c r="I206" i="3" a="1"/>
  <c r="J17" i="3" a="1"/>
  <c r="J117" i="3" a="1"/>
  <c r="K192" i="3" a="1"/>
  <c r="G24" i="3" a="1"/>
  <c r="F244" i="3" a="1"/>
  <c r="E232" i="3" a="1"/>
  <c r="K171" i="3" a="1"/>
  <c r="F209" i="3" a="1"/>
  <c r="I120" i="3" a="1"/>
  <c r="F199" i="3" a="1"/>
  <c r="I184" i="3" a="1"/>
  <c r="K259" i="3" a="1"/>
  <c r="I195" i="3" a="1"/>
  <c r="N46" i="3" a="1"/>
  <c r="L223" i="3" a="1"/>
  <c r="G143" i="3" a="1"/>
  <c r="I24" i="3" a="1"/>
  <c r="J310" i="3" a="1"/>
  <c r="K115" i="3" a="1"/>
  <c r="J96" i="3" a="1"/>
  <c r="E156" i="3" a="1"/>
  <c r="I74" i="3" a="1"/>
  <c r="L127" i="3" a="1"/>
  <c r="K25" i="3" a="1"/>
  <c r="F120" i="3" a="1"/>
  <c r="F15" i="3" a="1"/>
  <c r="G220" i="3" a="1"/>
  <c r="I34" i="3" a="1"/>
  <c r="G81" i="3" a="1"/>
  <c r="G147" i="3" a="1"/>
  <c r="K309" i="3" a="1"/>
  <c r="K271" i="3" a="1"/>
  <c r="F205" i="3" a="1"/>
  <c r="F186" i="3" a="1"/>
  <c r="G200" i="3" a="1"/>
  <c r="L99" i="3" a="1"/>
  <c r="G83" i="3" a="1"/>
  <c r="G99" i="3" a="1"/>
  <c r="E59" i="3" a="1"/>
  <c r="K218" i="3" a="1"/>
  <c r="J35" i="3" a="1"/>
  <c r="N302" i="3" a="1"/>
  <c r="E277" i="3" a="1"/>
  <c r="I202" i="3" a="1"/>
  <c r="K153" i="3" a="1"/>
  <c r="F79" i="3" a="1"/>
  <c r="F275" i="3" a="1"/>
  <c r="G246" i="3" a="1"/>
  <c r="I246" i="3" a="1"/>
  <c r="L166" i="3" a="1"/>
  <c r="L67" i="3" a="1"/>
  <c r="L292" i="3" a="1"/>
  <c r="I205" i="3" a="1"/>
  <c r="E184" i="3" a="1"/>
  <c r="E97" i="3" a="1"/>
  <c r="G15" i="3" a="1"/>
  <c r="K90" i="3" a="1"/>
  <c r="G51" i="3" a="1"/>
  <c r="G152" i="3" a="1"/>
  <c r="J176" i="3" a="1"/>
  <c r="N61" i="3" a="1"/>
  <c r="K96" i="3" a="1"/>
  <c r="L82" i="3" a="1"/>
  <c r="G184" i="3" a="1"/>
  <c r="K152" i="3" a="1"/>
  <c r="K81" i="3" a="1"/>
  <c r="L224" i="3" a="1"/>
  <c r="L307" i="3" a="1"/>
  <c r="J97" i="3" a="1"/>
  <c r="P48" i="3" a="1"/>
  <c r="N27" i="3" a="1"/>
  <c r="K304" i="3" a="1"/>
  <c r="F252" i="3" a="1"/>
  <c r="I204" i="3" a="1"/>
  <c r="L154" i="3" a="1"/>
  <c r="L103" i="3" a="1"/>
  <c r="O54" i="3" a="1"/>
  <c r="K311" i="3" a="1"/>
  <c r="L237" i="3" a="1"/>
  <c r="E187" i="3" a="1"/>
  <c r="I112" i="3" a="1"/>
  <c r="F62" i="3" a="1"/>
  <c r="M301" i="3" a="1"/>
  <c r="G225" i="3" a="1"/>
  <c r="L75" i="3" a="1"/>
  <c r="G176" i="3" a="1"/>
  <c r="K176" i="3" a="1"/>
  <c r="K80" i="3" a="1"/>
  <c r="I216" i="3" a="1"/>
  <c r="I66" i="3" a="1"/>
  <c r="J290" i="3" a="1"/>
  <c r="G117" i="3" a="1"/>
  <c r="I68" i="3" a="1"/>
  <c r="L273" i="3" a="1"/>
  <c r="I158" i="3" a="1"/>
  <c r="E57" i="3" a="1"/>
  <c r="J205" i="3" a="1"/>
  <c r="E19" i="3" a="1"/>
  <c r="I235" i="3" a="1"/>
  <c r="E174" i="3" a="1"/>
  <c r="E147" i="3" a="1"/>
  <c r="K306" i="3" a="1"/>
  <c r="I247" i="3" a="1"/>
  <c r="J165" i="3" a="1"/>
  <c r="E93" i="3" a="1"/>
  <c r="K146" i="3" a="1"/>
  <c r="F144" i="3" a="1"/>
  <c r="F59" i="3" a="1"/>
  <c r="F218" i="3" a="1"/>
  <c r="G297" i="3" a="1"/>
  <c r="I135" i="3" a="1"/>
  <c r="E283" i="3" a="1"/>
  <c r="J11" i="3" a="1"/>
  <c r="I274" i="3" a="1"/>
  <c r="J270" i="3" a="1"/>
  <c r="J73" i="3" a="1"/>
  <c r="E58" i="3" a="1"/>
  <c r="F185" i="3" a="1"/>
  <c r="J99" i="3" a="1"/>
  <c r="L110" i="3" a="1"/>
  <c r="I123" i="3" a="1"/>
  <c r="E40" i="3" a="1"/>
  <c r="L210" i="3" a="1"/>
  <c r="E292" i="3" a="1"/>
  <c r="K197" i="3" a="1"/>
  <c r="F22" i="3" a="1"/>
  <c r="K135" i="3" a="1"/>
  <c r="J293" i="3" a="1"/>
  <c r="L267" i="3" a="1"/>
  <c r="K167" i="3" a="1"/>
  <c r="G148" i="3" a="1"/>
  <c r="G271" i="3" a="1"/>
  <c r="L270" i="3" a="1"/>
  <c r="F208" i="3" a="1"/>
  <c r="I121" i="3" a="1"/>
  <c r="F19" i="3" a="1"/>
  <c r="G257" i="3" a="1"/>
  <c r="G34" i="3" a="1"/>
  <c r="G304" i="3" a="1"/>
  <c r="G252" i="3" a="1"/>
  <c r="G204" i="3" a="1"/>
  <c r="E152" i="3" a="1"/>
  <c r="F102" i="3" a="1"/>
  <c r="I53" i="3" a="1"/>
  <c r="F311" i="3" a="1"/>
  <c r="I236" i="3" a="1"/>
  <c r="L162" i="3" a="1"/>
  <c r="L112" i="3" a="1"/>
  <c r="H62" i="3" a="1"/>
  <c r="I250" i="3" a="1"/>
  <c r="G251" i="3" a="1"/>
  <c r="K200" i="3" a="1"/>
  <c r="E80" i="3" a="1"/>
  <c r="I150" i="3" a="1"/>
  <c r="F80" i="3" a="1"/>
  <c r="L141" i="3" a="1"/>
  <c r="E116" i="3" a="1"/>
  <c r="F72" i="3" a="1"/>
  <c r="J299" i="3" a="1"/>
  <c r="G74" i="3" a="1"/>
  <c r="J23" i="3" a="1"/>
  <c r="F207" i="3" a="1"/>
  <c r="F121" i="3" a="1"/>
  <c r="G182" i="3" a="1"/>
  <c r="G50" i="3" a="1"/>
  <c r="N13" i="3" a="1"/>
  <c r="F149" i="3" a="1"/>
  <c r="L108" i="3" a="1"/>
  <c r="F57" i="3" a="1"/>
  <c r="J257" i="3" a="1"/>
  <c r="J168" i="3" a="1"/>
  <c r="F96" i="3" a="1"/>
  <c r="E249" i="3" a="1"/>
  <c r="E185" i="3" a="1"/>
  <c r="E310" i="3" a="1"/>
  <c r="E306" i="3" a="1"/>
  <c r="E48" i="3" a="1"/>
  <c r="I248" i="3" a="1"/>
  <c r="E299" i="3" a="1"/>
  <c r="F245" i="3" a="1"/>
  <c r="I174" i="3" a="1"/>
  <c r="J4" i="3" a="1"/>
  <c r="F124" i="3" a="1"/>
  <c r="J306" i="3" a="1"/>
  <c r="E270" i="3" a="1"/>
  <c r="F10" i="3" a="1"/>
  <c r="K308" i="3" a="1"/>
  <c r="I92" i="3" a="1"/>
  <c r="F84" i="3" a="1"/>
  <c r="G6" i="3" a="1"/>
  <c r="K265" i="3" a="1"/>
  <c r="E109" i="3" a="1"/>
  <c r="O57" i="3" a="1"/>
  <c r="L172" i="3" a="1"/>
  <c r="G37" i="3" l="1"/>
  <c r="J37" i="3"/>
  <c r="G31" i="3"/>
  <c r="K37" i="3"/>
  <c r="I32" i="3"/>
  <c r="J32" i="3"/>
  <c r="K32" i="3"/>
  <c r="L37" i="3"/>
  <c r="J36" i="3"/>
  <c r="F30" i="3"/>
  <c r="J33" i="3"/>
  <c r="G30" i="3"/>
  <c r="K33" i="3"/>
  <c r="F28" i="3"/>
  <c r="J31" i="3"/>
  <c r="L32" i="3"/>
  <c r="M37" i="3"/>
  <c r="P27" i="3"/>
  <c r="K34" i="3"/>
  <c r="F29" i="3"/>
  <c r="F37" i="3"/>
  <c r="E27" i="3"/>
  <c r="F36" i="3"/>
  <c r="I29" i="3"/>
  <c r="G36" i="3"/>
  <c r="I28" i="3"/>
  <c r="L31" i="3"/>
  <c r="G35" i="3"/>
  <c r="J28" i="3"/>
  <c r="E32" i="3"/>
  <c r="G34" i="3"/>
  <c r="N27" i="3"/>
  <c r="K28" i="3"/>
  <c r="L29" i="3"/>
  <c r="E31" i="3"/>
  <c r="F32" i="3"/>
  <c r="G33" i="3"/>
  <c r="I34" i="3"/>
  <c r="J35" i="3"/>
  <c r="K36" i="3"/>
  <c r="E37" i="3"/>
  <c r="E28" i="3"/>
  <c r="E36" i="3"/>
  <c r="G29" i="3"/>
  <c r="E35" i="3"/>
  <c r="G28" i="3"/>
  <c r="K31" i="3"/>
  <c r="E34" i="3"/>
  <c r="G27" i="3"/>
  <c r="K30" i="3"/>
  <c r="F34" i="3"/>
  <c r="I27" i="3"/>
  <c r="L30" i="3"/>
  <c r="L28" i="3"/>
  <c r="G32" i="3"/>
  <c r="K35" i="3"/>
  <c r="N37" i="3"/>
  <c r="E29" i="3"/>
  <c r="L35" i="3"/>
  <c r="I31" i="3"/>
  <c r="L34" i="3"/>
  <c r="I30" i="3"/>
  <c r="L33" i="3"/>
  <c r="F27" i="3"/>
  <c r="J30" i="3"/>
  <c r="F35" i="3"/>
  <c r="J29" i="3"/>
  <c r="E33" i="3"/>
  <c r="I36" i="3"/>
  <c r="K29" i="3"/>
  <c r="F33" i="3"/>
  <c r="I35" i="3"/>
  <c r="O27" i="3"/>
  <c r="E30" i="3"/>
  <c r="F31" i="3"/>
  <c r="I33" i="3"/>
  <c r="J34" i="3"/>
  <c r="L36" i="3"/>
  <c r="E304" i="3"/>
  <c r="F302" i="3"/>
  <c r="M303" i="3"/>
  <c r="F304" i="3"/>
  <c r="G303" i="3"/>
  <c r="J302" i="3"/>
  <c r="K302" i="3"/>
  <c r="L302" i="3"/>
  <c r="M302" i="3"/>
  <c r="M304" i="3"/>
  <c r="E303" i="3"/>
  <c r="G304" i="3"/>
  <c r="J304" i="3"/>
  <c r="K304" i="3"/>
  <c r="L304" i="3"/>
  <c r="N304" i="3"/>
  <c r="E302" i="3"/>
  <c r="F303" i="3"/>
  <c r="G302" i="3"/>
  <c r="J303" i="3"/>
  <c r="K303" i="3"/>
  <c r="L303" i="3"/>
  <c r="N302" i="3"/>
  <c r="N303" i="3"/>
  <c r="E277" i="3"/>
  <c r="J279" i="3"/>
  <c r="E279" i="3"/>
  <c r="I278" i="3"/>
  <c r="K277" i="3"/>
  <c r="F279" i="3"/>
  <c r="K279" i="3"/>
  <c r="L277" i="3"/>
  <c r="F278" i="3"/>
  <c r="G278" i="3"/>
  <c r="G277" i="3"/>
  <c r="J277" i="3"/>
  <c r="L279" i="3"/>
  <c r="L278" i="3"/>
  <c r="E278" i="3"/>
  <c r="G279" i="3"/>
  <c r="F277" i="3"/>
  <c r="I279" i="3"/>
  <c r="I277" i="3"/>
  <c r="J278" i="3"/>
  <c r="K278" i="3"/>
  <c r="L253" i="3"/>
  <c r="E253" i="3"/>
  <c r="J254" i="3"/>
  <c r="J253" i="3"/>
  <c r="L252" i="3"/>
  <c r="E252" i="3"/>
  <c r="G254" i="3"/>
  <c r="I254" i="3"/>
  <c r="G252" i="3"/>
  <c r="I252" i="3"/>
  <c r="K254" i="3"/>
  <c r="E254" i="3"/>
  <c r="F252" i="3"/>
  <c r="L254" i="3"/>
  <c r="K252" i="3"/>
  <c r="F254" i="3"/>
  <c r="F253" i="3"/>
  <c r="G253" i="3"/>
  <c r="I253" i="3"/>
  <c r="J252" i="3"/>
  <c r="K253" i="3"/>
  <c r="L228" i="3"/>
  <c r="L227" i="3"/>
  <c r="I228" i="3"/>
  <c r="F229" i="3"/>
  <c r="F228" i="3"/>
  <c r="G228" i="3"/>
  <c r="K229" i="3"/>
  <c r="K228" i="3"/>
  <c r="K227" i="3"/>
  <c r="E229" i="3"/>
  <c r="E228" i="3"/>
  <c r="E227" i="3"/>
  <c r="G229" i="3"/>
  <c r="F227" i="3"/>
  <c r="I229" i="3"/>
  <c r="G227" i="3"/>
  <c r="J229" i="3"/>
  <c r="I227" i="3"/>
  <c r="J228" i="3"/>
  <c r="J227" i="3"/>
  <c r="L229" i="3"/>
  <c r="K202" i="3"/>
  <c r="J204" i="3"/>
  <c r="L202" i="3"/>
  <c r="F202" i="3"/>
  <c r="L203" i="3"/>
  <c r="K204" i="3"/>
  <c r="E202" i="3"/>
  <c r="J203" i="3"/>
  <c r="E204" i="3"/>
  <c r="E203" i="3"/>
  <c r="G204" i="3"/>
  <c r="I204" i="3"/>
  <c r="I203" i="3"/>
  <c r="L204" i="3"/>
  <c r="F204" i="3"/>
  <c r="F203" i="3"/>
  <c r="G203" i="3"/>
  <c r="G202" i="3"/>
  <c r="I202" i="3"/>
  <c r="J202" i="3"/>
  <c r="K203" i="3"/>
  <c r="E179" i="3"/>
  <c r="E177" i="3"/>
  <c r="K179" i="3"/>
  <c r="K177" i="3"/>
  <c r="F179" i="3"/>
  <c r="I177" i="3"/>
  <c r="E178" i="3"/>
  <c r="G179" i="3"/>
  <c r="F177" i="3"/>
  <c r="G178" i="3"/>
  <c r="I178" i="3"/>
  <c r="L179" i="3"/>
  <c r="L178" i="3"/>
  <c r="L177" i="3"/>
  <c r="F178" i="3"/>
  <c r="I179" i="3"/>
  <c r="G177" i="3"/>
  <c r="J179" i="3"/>
  <c r="J178" i="3"/>
  <c r="J177" i="3"/>
  <c r="K178" i="3"/>
  <c r="J154" i="3"/>
  <c r="I154" i="3"/>
  <c r="L153" i="3"/>
  <c r="L152" i="3"/>
  <c r="E153" i="3"/>
  <c r="F153" i="3"/>
  <c r="K154" i="3"/>
  <c r="G153" i="3"/>
  <c r="E154" i="3"/>
  <c r="E152" i="3"/>
  <c r="I153" i="3"/>
  <c r="L154" i="3"/>
  <c r="K152" i="3"/>
  <c r="F154" i="3"/>
  <c r="G154" i="3"/>
  <c r="F152" i="3"/>
  <c r="G152" i="3"/>
  <c r="I152" i="3"/>
  <c r="J153" i="3"/>
  <c r="J152" i="3"/>
  <c r="K153" i="3"/>
  <c r="L127" i="3"/>
  <c r="G127" i="3"/>
  <c r="E129" i="3"/>
  <c r="E128" i="3"/>
  <c r="G128" i="3"/>
  <c r="I127" i="3"/>
  <c r="K129" i="3"/>
  <c r="L128" i="3"/>
  <c r="F128" i="3"/>
  <c r="J128" i="3"/>
  <c r="E127" i="3"/>
  <c r="F127" i="3"/>
  <c r="I128" i="3"/>
  <c r="L129" i="3"/>
  <c r="K127" i="3"/>
  <c r="F129" i="3"/>
  <c r="G129" i="3"/>
  <c r="I129" i="3"/>
  <c r="J129" i="3"/>
  <c r="J127" i="3"/>
  <c r="K128" i="3"/>
  <c r="J104" i="3"/>
  <c r="L102" i="3"/>
  <c r="E102" i="3"/>
  <c r="K104" i="3"/>
  <c r="E104" i="3"/>
  <c r="G103" i="3"/>
  <c r="J103" i="3"/>
  <c r="K102" i="3"/>
  <c r="E103" i="3"/>
  <c r="F103" i="3"/>
  <c r="F102" i="3"/>
  <c r="I103" i="3"/>
  <c r="I102" i="3"/>
  <c r="L104" i="3"/>
  <c r="L103" i="3"/>
  <c r="F104" i="3"/>
  <c r="G104" i="3"/>
  <c r="I104" i="3"/>
  <c r="G102" i="3"/>
  <c r="J102" i="3"/>
  <c r="K103" i="3"/>
  <c r="J79" i="3"/>
  <c r="E79" i="3"/>
  <c r="J78" i="3"/>
  <c r="K77" i="3"/>
  <c r="F79" i="3"/>
  <c r="F78" i="3"/>
  <c r="I79" i="3"/>
  <c r="I78" i="3"/>
  <c r="I77" i="3"/>
  <c r="K79" i="3"/>
  <c r="L78" i="3"/>
  <c r="E77" i="3"/>
  <c r="F77" i="3"/>
  <c r="L79" i="3"/>
  <c r="L77" i="3"/>
  <c r="E78" i="3"/>
  <c r="G79" i="3"/>
  <c r="G78" i="3"/>
  <c r="G77" i="3"/>
  <c r="J77" i="3"/>
  <c r="K78" i="3"/>
  <c r="F54" i="3"/>
  <c r="F52" i="3"/>
  <c r="G54" i="3"/>
  <c r="V4" i="23" s="1"/>
  <c r="P53" i="3"/>
  <c r="F53" i="3"/>
  <c r="H53" i="3"/>
  <c r="H52" i="3"/>
  <c r="H54" i="3"/>
  <c r="I54" i="3"/>
  <c r="E53" i="3"/>
  <c r="E54" i="3"/>
  <c r="G53" i="3"/>
  <c r="U4" i="23" s="1"/>
  <c r="I52" i="3"/>
  <c r="N53" i="3"/>
  <c r="N52" i="3"/>
  <c r="N54" i="3"/>
  <c r="P52" i="3"/>
  <c r="E52" i="3"/>
  <c r="G52" i="3"/>
  <c r="I53" i="3"/>
  <c r="O53" i="3"/>
  <c r="O52" i="3"/>
  <c r="O54" i="3"/>
  <c r="P54" i="3"/>
  <c r="F311" i="3"/>
  <c r="J311" i="3"/>
  <c r="K311" i="3"/>
  <c r="L311" i="3"/>
  <c r="M312" i="3"/>
  <c r="G311" i="3"/>
  <c r="M311" i="3"/>
  <c r="E312" i="3"/>
  <c r="G312" i="3"/>
  <c r="N312" i="3"/>
  <c r="E311" i="3"/>
  <c r="F312" i="3"/>
  <c r="J312" i="3"/>
  <c r="K312" i="3"/>
  <c r="L312" i="3"/>
  <c r="N311" i="3"/>
  <c r="L286" i="3"/>
  <c r="E287" i="3"/>
  <c r="F287" i="3"/>
  <c r="I287" i="3"/>
  <c r="I286" i="3"/>
  <c r="J286" i="3"/>
  <c r="K287" i="3"/>
  <c r="G287" i="3"/>
  <c r="L287" i="3"/>
  <c r="E286" i="3"/>
  <c r="F286" i="3"/>
  <c r="G286" i="3"/>
  <c r="J287" i="3"/>
  <c r="K286" i="3"/>
  <c r="G262" i="3"/>
  <c r="E262" i="3"/>
  <c r="E261" i="3"/>
  <c r="G261" i="3"/>
  <c r="J262" i="3"/>
  <c r="K262" i="3"/>
  <c r="L261" i="3"/>
  <c r="F261" i="3"/>
  <c r="I261" i="3"/>
  <c r="J261" i="3"/>
  <c r="L262" i="3"/>
  <c r="F262" i="3"/>
  <c r="I262" i="3"/>
  <c r="K261" i="3"/>
  <c r="G237" i="3"/>
  <c r="G236" i="3"/>
  <c r="L236" i="3"/>
  <c r="E236" i="3"/>
  <c r="F236" i="3"/>
  <c r="I236" i="3"/>
  <c r="L237" i="3"/>
  <c r="E237" i="3"/>
  <c r="F237" i="3"/>
  <c r="I237" i="3"/>
  <c r="J237" i="3"/>
  <c r="J236" i="3"/>
  <c r="K237" i="3"/>
  <c r="K236" i="3"/>
  <c r="E212" i="3"/>
  <c r="F212" i="3"/>
  <c r="G212" i="3"/>
  <c r="G211" i="3"/>
  <c r="I211" i="3"/>
  <c r="J211" i="3"/>
  <c r="K212" i="3"/>
  <c r="L212" i="3"/>
  <c r="L211" i="3"/>
  <c r="E211" i="3"/>
  <c r="F211" i="3"/>
  <c r="I212" i="3"/>
  <c r="J212" i="3"/>
  <c r="K211" i="3"/>
  <c r="E186" i="3"/>
  <c r="E187" i="3"/>
  <c r="F186" i="3"/>
  <c r="G186" i="3"/>
  <c r="I186" i="3"/>
  <c r="J186" i="3"/>
  <c r="L187" i="3"/>
  <c r="L186" i="3"/>
  <c r="F187" i="3"/>
  <c r="G187" i="3"/>
  <c r="I187" i="3"/>
  <c r="J187" i="3"/>
  <c r="K187" i="3"/>
  <c r="K186" i="3"/>
  <c r="E162" i="3"/>
  <c r="F162" i="3"/>
  <c r="E161" i="3"/>
  <c r="F161" i="3"/>
  <c r="G162" i="3"/>
  <c r="G161" i="3"/>
  <c r="I162" i="3"/>
  <c r="I161" i="3"/>
  <c r="J161" i="3"/>
  <c r="K162" i="3"/>
  <c r="K161" i="3"/>
  <c r="L162" i="3"/>
  <c r="L161" i="3"/>
  <c r="J162" i="3"/>
  <c r="L136" i="3"/>
  <c r="E136" i="3"/>
  <c r="F136" i="3"/>
  <c r="G136" i="3"/>
  <c r="J136" i="3"/>
  <c r="L137" i="3"/>
  <c r="E137" i="3"/>
  <c r="F137" i="3"/>
  <c r="G137" i="3"/>
  <c r="I137" i="3"/>
  <c r="I136" i="3"/>
  <c r="J137" i="3"/>
  <c r="K137" i="3"/>
  <c r="K136" i="3"/>
  <c r="J112" i="3"/>
  <c r="F112" i="3"/>
  <c r="K112" i="3"/>
  <c r="G111" i="3"/>
  <c r="J111" i="3"/>
  <c r="E112" i="3"/>
  <c r="G112" i="3"/>
  <c r="L112" i="3"/>
  <c r="L111" i="3"/>
  <c r="E111" i="3"/>
  <c r="F111" i="3"/>
  <c r="I112" i="3"/>
  <c r="I111" i="3"/>
  <c r="K111" i="3"/>
  <c r="J86" i="3"/>
  <c r="E87" i="3"/>
  <c r="E86" i="3"/>
  <c r="G87" i="3"/>
  <c r="G86" i="3"/>
  <c r="K87" i="3"/>
  <c r="L86" i="3"/>
  <c r="F86" i="3"/>
  <c r="I86" i="3"/>
  <c r="L87" i="3"/>
  <c r="F87" i="3"/>
  <c r="I87" i="3"/>
  <c r="J87" i="3"/>
  <c r="K86" i="3"/>
  <c r="I60" i="3"/>
  <c r="F60" i="3"/>
  <c r="E62" i="3"/>
  <c r="O60" i="3"/>
  <c r="H60" i="3"/>
  <c r="H62" i="3"/>
  <c r="N60" i="3"/>
  <c r="P60" i="3"/>
  <c r="E60" i="3"/>
  <c r="F62" i="3"/>
  <c r="G62" i="3"/>
  <c r="G60" i="3"/>
  <c r="U6" i="23" s="1"/>
  <c r="I62" i="3"/>
  <c r="N62" i="3"/>
  <c r="O62" i="3"/>
  <c r="P62" i="3"/>
  <c r="K67" i="3"/>
  <c r="J67" i="3"/>
  <c r="I67" i="3"/>
  <c r="G67" i="3"/>
  <c r="F67" i="3"/>
  <c r="L67" i="3"/>
  <c r="L91" i="3"/>
  <c r="G91" i="3"/>
  <c r="I140" i="3"/>
  <c r="K140" i="3"/>
  <c r="J140" i="3"/>
  <c r="F91" i="3"/>
  <c r="G116" i="3"/>
  <c r="L116" i="3"/>
  <c r="F140" i="3"/>
  <c r="I91" i="3"/>
  <c r="J91" i="3"/>
  <c r="E67" i="3"/>
  <c r="E66" i="3"/>
  <c r="F116" i="3"/>
  <c r="F66" i="3"/>
  <c r="K66" i="3"/>
  <c r="L66" i="3"/>
  <c r="K91" i="3"/>
  <c r="E91" i="3"/>
  <c r="G140" i="3"/>
  <c r="E116" i="3"/>
  <c r="G66" i="3"/>
  <c r="I116" i="3"/>
  <c r="J116" i="3"/>
  <c r="I66" i="3"/>
  <c r="K116" i="3"/>
  <c r="J66" i="3"/>
  <c r="L140" i="3"/>
  <c r="J166" i="3"/>
  <c r="G215" i="3"/>
  <c r="F166" i="3"/>
  <c r="L166" i="3"/>
  <c r="I166" i="3"/>
  <c r="E140" i="3"/>
  <c r="F215" i="3"/>
  <c r="I141" i="3"/>
  <c r="K215" i="3"/>
  <c r="E166" i="3"/>
  <c r="G166" i="3"/>
  <c r="I191" i="3"/>
  <c r="F191" i="3"/>
  <c r="L191" i="3"/>
  <c r="G141" i="3"/>
  <c r="K191" i="3"/>
  <c r="K166" i="3"/>
  <c r="J215" i="3"/>
  <c r="I215" i="3"/>
  <c r="J191" i="3"/>
  <c r="E141" i="3"/>
  <c r="K141" i="3"/>
  <c r="E191" i="3"/>
  <c r="G191" i="3"/>
  <c r="L141" i="3"/>
  <c r="F141" i="3"/>
  <c r="J141" i="3"/>
  <c r="L215" i="3"/>
  <c r="I216" i="3"/>
  <c r="F266" i="3"/>
  <c r="G216" i="3"/>
  <c r="O42" i="3"/>
  <c r="L216" i="3"/>
  <c r="G291" i="3"/>
  <c r="L291" i="3"/>
  <c r="I246" i="3"/>
  <c r="L80" i="3"/>
  <c r="J266" i="3"/>
  <c r="F291" i="3"/>
  <c r="L246" i="3"/>
  <c r="I80" i="3"/>
  <c r="L241" i="3"/>
  <c r="F42" i="3"/>
  <c r="E246" i="3"/>
  <c r="L81" i="3"/>
  <c r="J80" i="3"/>
  <c r="I241" i="3"/>
  <c r="J81" i="3"/>
  <c r="E291" i="3"/>
  <c r="E241" i="3"/>
  <c r="N42" i="3"/>
  <c r="H42" i="3"/>
  <c r="M291" i="3"/>
  <c r="N291" i="3"/>
  <c r="J246" i="3"/>
  <c r="J291" i="3"/>
  <c r="F80" i="3"/>
  <c r="E215" i="3"/>
  <c r="I42" i="3"/>
  <c r="L266" i="3"/>
  <c r="K80" i="3"/>
  <c r="K81" i="3"/>
  <c r="K246" i="3"/>
  <c r="G80" i="3"/>
  <c r="G241" i="3"/>
  <c r="G81" i="3"/>
  <c r="G266" i="3"/>
  <c r="G246" i="3"/>
  <c r="J216" i="3"/>
  <c r="E266" i="3"/>
  <c r="G42" i="3"/>
  <c r="F246" i="3"/>
  <c r="E81" i="3"/>
  <c r="E42" i="3"/>
  <c r="E216" i="3"/>
  <c r="K216" i="3"/>
  <c r="F241" i="3"/>
  <c r="J241" i="3"/>
  <c r="I81" i="3"/>
  <c r="K291" i="3"/>
  <c r="K241" i="3"/>
  <c r="F81" i="3"/>
  <c r="K266" i="3"/>
  <c r="F216" i="3"/>
  <c r="I266" i="3"/>
  <c r="P42" i="3"/>
  <c r="J150" i="3"/>
  <c r="F125" i="3"/>
  <c r="I150" i="3"/>
  <c r="K75" i="3"/>
  <c r="I101" i="3"/>
  <c r="K125" i="3"/>
  <c r="K176" i="3"/>
  <c r="F200" i="3"/>
  <c r="J231" i="3"/>
  <c r="I230" i="3"/>
  <c r="L175" i="3"/>
  <c r="E101" i="3"/>
  <c r="G126" i="3"/>
  <c r="E75" i="3"/>
  <c r="J101" i="3"/>
  <c r="K151" i="3"/>
  <c r="E176" i="3"/>
  <c r="K201" i="3"/>
  <c r="F126" i="3"/>
  <c r="G76" i="3"/>
  <c r="K100" i="3"/>
  <c r="E151" i="3"/>
  <c r="F175" i="3"/>
  <c r="F201" i="3"/>
  <c r="I231" i="3"/>
  <c r="G230" i="3"/>
  <c r="F176" i="3"/>
  <c r="K76" i="3"/>
  <c r="I76" i="3"/>
  <c r="J126" i="3"/>
  <c r="G151" i="3"/>
  <c r="J175" i="3"/>
  <c r="J200" i="3"/>
  <c r="L76" i="3"/>
  <c r="E80" i="3"/>
  <c r="F100" i="3"/>
  <c r="E126" i="3"/>
  <c r="F151" i="3"/>
  <c r="G176" i="3"/>
  <c r="G200" i="3"/>
  <c r="F231" i="3"/>
  <c r="L200" i="3"/>
  <c r="E76" i="3"/>
  <c r="G100" i="3"/>
  <c r="K126" i="3"/>
  <c r="G150" i="3"/>
  <c r="G175" i="3"/>
  <c r="L201" i="3"/>
  <c r="F75" i="3"/>
  <c r="I175" i="3"/>
  <c r="G201" i="3"/>
  <c r="E231" i="3"/>
  <c r="F230" i="3"/>
  <c r="L151" i="3"/>
  <c r="I75" i="3"/>
  <c r="K101" i="3"/>
  <c r="G125" i="3"/>
  <c r="E150" i="3"/>
  <c r="K175" i="3"/>
  <c r="I201" i="3"/>
  <c r="L125" i="3"/>
  <c r="I100" i="3"/>
  <c r="F101" i="3"/>
  <c r="L126" i="3"/>
  <c r="F150" i="3"/>
  <c r="L176" i="3"/>
  <c r="K200" i="3"/>
  <c r="L230" i="3"/>
  <c r="G231" i="3"/>
  <c r="J76" i="3"/>
  <c r="L75" i="3"/>
  <c r="J100" i="3"/>
  <c r="E125" i="3"/>
  <c r="I151" i="3"/>
  <c r="E175" i="3"/>
  <c r="J176" i="3"/>
  <c r="L231" i="3"/>
  <c r="K230" i="3"/>
  <c r="L150" i="3"/>
  <c r="F76" i="3"/>
  <c r="L101" i="3"/>
  <c r="I126" i="3"/>
  <c r="J151" i="3"/>
  <c r="I200" i="3"/>
  <c r="E200" i="3"/>
  <c r="G75" i="3"/>
  <c r="L100" i="3"/>
  <c r="I125" i="3"/>
  <c r="K150" i="3"/>
  <c r="J201" i="3"/>
  <c r="K231" i="3"/>
  <c r="J230" i="3"/>
  <c r="G101" i="3"/>
  <c r="J75" i="3"/>
  <c r="E100" i="3"/>
  <c r="J125" i="3"/>
  <c r="I176" i="3"/>
  <c r="E201" i="3"/>
  <c r="G251" i="3"/>
  <c r="J226" i="3"/>
  <c r="E225" i="3"/>
  <c r="G226" i="3"/>
  <c r="G225" i="3"/>
  <c r="F276" i="3"/>
  <c r="L276" i="3"/>
  <c r="L251" i="3"/>
  <c r="E275" i="3"/>
  <c r="F251" i="3"/>
  <c r="G275" i="3"/>
  <c r="L225" i="3"/>
  <c r="K275" i="3"/>
  <c r="F225" i="3"/>
  <c r="J251" i="3"/>
  <c r="L301" i="3"/>
  <c r="I226" i="3"/>
  <c r="K250" i="3"/>
  <c r="K301" i="3"/>
  <c r="M300" i="3"/>
  <c r="K225" i="3"/>
  <c r="J276" i="3"/>
  <c r="E301" i="3"/>
  <c r="L275" i="3"/>
  <c r="F300" i="3"/>
  <c r="G301" i="3"/>
  <c r="I225" i="3"/>
  <c r="K251" i="3"/>
  <c r="E276" i="3"/>
  <c r="J300" i="3"/>
  <c r="I276" i="3"/>
  <c r="K300" i="3"/>
  <c r="I250" i="3"/>
  <c r="K226" i="3"/>
  <c r="E250" i="3"/>
  <c r="K276" i="3"/>
  <c r="M301" i="3"/>
  <c r="G276" i="3"/>
  <c r="F301" i="3"/>
  <c r="I275" i="3"/>
  <c r="N301" i="3"/>
  <c r="E300" i="3"/>
  <c r="G300" i="3"/>
  <c r="F275" i="3"/>
  <c r="J301" i="3"/>
  <c r="E226" i="3"/>
  <c r="J250" i="3"/>
  <c r="L300" i="3"/>
  <c r="E230" i="3"/>
  <c r="L250" i="3"/>
  <c r="G250" i="3"/>
  <c r="J275" i="3"/>
  <c r="E251" i="3"/>
  <c r="J225" i="3"/>
  <c r="F250" i="3"/>
  <c r="F226" i="3"/>
  <c r="L226" i="3"/>
  <c r="I251" i="3"/>
  <c r="N300" i="3"/>
  <c r="N41" i="3"/>
  <c r="F41" i="3"/>
  <c r="P41" i="3"/>
  <c r="E41" i="3"/>
  <c r="G41" i="3"/>
  <c r="U7" i="23" s="1"/>
  <c r="H41" i="3"/>
  <c r="I41" i="3"/>
  <c r="O41" i="3"/>
  <c r="F18" i="3"/>
  <c r="E17" i="3"/>
  <c r="F16" i="3"/>
  <c r="F17" i="3"/>
  <c r="K25" i="3"/>
  <c r="E25" i="3"/>
  <c r="G18" i="3"/>
  <c r="F25" i="3"/>
  <c r="F24" i="3"/>
  <c r="G16" i="3"/>
  <c r="J25" i="3"/>
  <c r="I24" i="3"/>
  <c r="G19" i="3"/>
  <c r="J20" i="3"/>
  <c r="J19" i="3"/>
  <c r="L25" i="3"/>
  <c r="J21" i="3"/>
  <c r="E24" i="3"/>
  <c r="L21" i="3"/>
  <c r="J18" i="3"/>
  <c r="E22" i="3"/>
  <c r="I16" i="3"/>
  <c r="F22" i="3"/>
  <c r="K17" i="3"/>
  <c r="I22" i="3"/>
  <c r="M25" i="3"/>
  <c r="L23" i="3"/>
  <c r="K21" i="3"/>
  <c r="E15" i="3"/>
  <c r="E23" i="3"/>
  <c r="I17" i="3"/>
  <c r="F23" i="3"/>
  <c r="G15" i="3"/>
  <c r="K18" i="3"/>
  <c r="E21" i="3"/>
  <c r="I15" i="3"/>
  <c r="L18" i="3"/>
  <c r="F21" i="3"/>
  <c r="J24" i="3"/>
  <c r="K16" i="3"/>
  <c r="G21" i="3"/>
  <c r="K24" i="3"/>
  <c r="P15" i="3"/>
  <c r="I20" i="3"/>
  <c r="I19" i="3"/>
  <c r="G17" i="3"/>
  <c r="K20" i="3"/>
  <c r="F15" i="3"/>
  <c r="L20" i="3"/>
  <c r="L19" i="3"/>
  <c r="J16" i="3"/>
  <c r="G22" i="3"/>
  <c r="N15" i="3"/>
  <c r="E19" i="3"/>
  <c r="G20" i="3"/>
  <c r="K23" i="3"/>
  <c r="N25" i="3"/>
  <c r="K22" i="3"/>
  <c r="E16" i="3"/>
  <c r="L22" i="3"/>
  <c r="I18" i="3"/>
  <c r="G25" i="3"/>
  <c r="K19" i="3"/>
  <c r="G24" i="3"/>
  <c r="J17" i="3"/>
  <c r="G23" i="3"/>
  <c r="E20" i="3"/>
  <c r="I23" i="3"/>
  <c r="L17" i="3"/>
  <c r="F20" i="3"/>
  <c r="J23" i="3"/>
  <c r="O15" i="3"/>
  <c r="L16" i="3"/>
  <c r="E18" i="3"/>
  <c r="F19" i="3"/>
  <c r="I21" i="3"/>
  <c r="J22" i="3"/>
  <c r="L24" i="3"/>
  <c r="E51" i="3"/>
  <c r="H51" i="3"/>
  <c r="F51" i="3"/>
  <c r="G51" i="3"/>
  <c r="I51" i="3"/>
  <c r="N51" i="3"/>
  <c r="P51" i="3"/>
  <c r="O51" i="3"/>
  <c r="H50" i="3"/>
  <c r="E50" i="3"/>
  <c r="F50" i="3"/>
  <c r="N50" i="3"/>
  <c r="P50" i="3"/>
  <c r="G50" i="3"/>
  <c r="U5" i="23" s="1"/>
  <c r="I50" i="3"/>
  <c r="O50" i="3"/>
  <c r="G49" i="3"/>
  <c r="F293" i="3"/>
  <c r="L108" i="3"/>
  <c r="F55" i="3"/>
  <c r="F134" i="3"/>
  <c r="K218" i="3"/>
  <c r="L135" i="3"/>
  <c r="E90" i="3"/>
  <c r="G205" i="3"/>
  <c r="K170" i="3"/>
  <c r="K219" i="3"/>
  <c r="G180" i="3"/>
  <c r="G305" i="3"/>
  <c r="K110" i="3"/>
  <c r="G172" i="3"/>
  <c r="F240" i="3"/>
  <c r="F11" i="3"/>
  <c r="G134" i="3"/>
  <c r="G256" i="3"/>
  <c r="I8" i="3"/>
  <c r="E146" i="3"/>
  <c r="G120" i="3"/>
  <c r="G294" i="3"/>
  <c r="G12" i="3"/>
  <c r="L83" i="3"/>
  <c r="I47" i="3"/>
  <c r="E57" i="3"/>
  <c r="O3" i="3"/>
  <c r="I168" i="3"/>
  <c r="F219" i="3"/>
  <c r="F217" i="3"/>
  <c r="E270" i="3"/>
  <c r="E44" i="3"/>
  <c r="E235" i="3"/>
  <c r="K256" i="3"/>
  <c r="J124" i="3"/>
  <c r="E155" i="3"/>
  <c r="J256" i="3"/>
  <c r="K194" i="3"/>
  <c r="G168" i="3"/>
  <c r="I124" i="3"/>
  <c r="I43" i="3"/>
  <c r="F255" i="3"/>
  <c r="E70" i="3"/>
  <c r="L197" i="3"/>
  <c r="G259" i="3"/>
  <c r="I281" i="3"/>
  <c r="J269" i="3"/>
  <c r="K158" i="3"/>
  <c r="E122" i="3"/>
  <c r="I247" i="3"/>
  <c r="E192" i="3"/>
  <c r="K117" i="3"/>
  <c r="L12" i="3"/>
  <c r="G206" i="3"/>
  <c r="F124" i="3"/>
  <c r="N306" i="3"/>
  <c r="G149" i="3"/>
  <c r="I267" i="3"/>
  <c r="F99" i="3"/>
  <c r="I184" i="3"/>
  <c r="I49" i="3"/>
  <c r="E59" i="3"/>
  <c r="P45" i="3"/>
  <c r="K145" i="3"/>
  <c r="L133" i="3"/>
  <c r="F298" i="3"/>
  <c r="E305" i="3"/>
  <c r="I57" i="3"/>
  <c r="L199" i="3"/>
  <c r="E84" i="3"/>
  <c r="K255" i="3"/>
  <c r="P58" i="3"/>
  <c r="G218" i="3"/>
  <c r="I149" i="3"/>
  <c r="I118" i="3"/>
  <c r="G98" i="3"/>
  <c r="G95" i="3"/>
  <c r="G84" i="3"/>
  <c r="F157" i="3"/>
  <c r="I174" i="3"/>
  <c r="K168" i="3"/>
  <c r="L190" i="3"/>
  <c r="L198" i="3"/>
  <c r="K68" i="3"/>
  <c r="E6" i="3"/>
  <c r="L233" i="3"/>
  <c r="L183" i="3"/>
  <c r="L147" i="3"/>
  <c r="E306" i="3"/>
  <c r="H43" i="3"/>
  <c r="F281" i="3"/>
  <c r="E142" i="3"/>
  <c r="K106" i="3"/>
  <c r="K220" i="3"/>
  <c r="G124" i="3"/>
  <c r="L260" i="3"/>
  <c r="I171" i="3"/>
  <c r="E182" i="3"/>
  <c r="F299" i="3"/>
  <c r="F199" i="3"/>
  <c r="K167" i="3"/>
  <c r="G48" i="3"/>
  <c r="J159" i="3"/>
  <c r="N56" i="3"/>
  <c r="J169" i="3"/>
  <c r="L249" i="3"/>
  <c r="G244" i="3"/>
  <c r="G169" i="3"/>
  <c r="E169" i="3"/>
  <c r="I96" i="3"/>
  <c r="F218" i="3"/>
  <c r="F249" i="3"/>
  <c r="E92" i="3"/>
  <c r="K309" i="3"/>
  <c r="E185" i="3"/>
  <c r="J255" i="3"/>
  <c r="K308" i="3"/>
  <c r="G284" i="3"/>
  <c r="N299" i="3"/>
  <c r="E174" i="3"/>
  <c r="F170" i="3"/>
  <c r="J85" i="3"/>
  <c r="F243" i="3"/>
  <c r="L6" i="3"/>
  <c r="F3" i="3"/>
  <c r="J221" i="3"/>
  <c r="E309" i="3"/>
  <c r="L4" i="3"/>
  <c r="L281" i="3"/>
  <c r="O57" i="3"/>
  <c r="J143" i="3"/>
  <c r="L122" i="3"/>
  <c r="G268" i="3"/>
  <c r="E267" i="3"/>
  <c r="E244" i="3"/>
  <c r="N44" i="3"/>
  <c r="M297" i="3"/>
  <c r="L209" i="3"/>
  <c r="K232" i="3"/>
  <c r="E284" i="3"/>
  <c r="I285" i="3"/>
  <c r="I119" i="3"/>
  <c r="E123" i="3"/>
  <c r="G6" i="3"/>
  <c r="I99" i="3"/>
  <c r="G248" i="3"/>
  <c r="I117" i="3"/>
  <c r="I244" i="3"/>
  <c r="J272" i="3"/>
  <c r="L98" i="3"/>
  <c r="L170" i="3"/>
  <c r="E197" i="3"/>
  <c r="E71" i="3"/>
  <c r="F283" i="3"/>
  <c r="E272" i="3"/>
  <c r="J171" i="3"/>
  <c r="J131" i="3"/>
  <c r="F85" i="3"/>
  <c r="E310" i="3"/>
  <c r="K69" i="3"/>
  <c r="G235" i="3"/>
  <c r="K93" i="3"/>
  <c r="F307" i="3"/>
  <c r="G280" i="3"/>
  <c r="I109" i="3"/>
  <c r="K133" i="3"/>
  <c r="L272" i="3"/>
  <c r="G73" i="3"/>
  <c r="I74" i="3"/>
  <c r="F235" i="3"/>
  <c r="N305" i="3"/>
  <c r="G219" i="3"/>
  <c r="E170" i="3"/>
  <c r="I272" i="3"/>
  <c r="I208" i="3"/>
  <c r="J147" i="3"/>
  <c r="F183" i="3"/>
  <c r="E11" i="3"/>
  <c r="E68" i="3"/>
  <c r="K124" i="3"/>
  <c r="F147" i="3"/>
  <c r="K96" i="3"/>
  <c r="E190" i="3"/>
  <c r="L118" i="3"/>
  <c r="K9" i="3"/>
  <c r="E55" i="3"/>
  <c r="E255" i="3"/>
  <c r="M305" i="3"/>
  <c r="F207" i="3"/>
  <c r="E12" i="3"/>
  <c r="L156" i="3"/>
  <c r="K196" i="3"/>
  <c r="E98" i="3"/>
  <c r="J167" i="3"/>
  <c r="I222" i="3"/>
  <c r="K173" i="3"/>
  <c r="G132" i="3"/>
  <c r="E134" i="3"/>
  <c r="L181" i="3"/>
  <c r="L132" i="3"/>
  <c r="J74" i="3"/>
  <c r="L120" i="3"/>
  <c r="F68" i="3"/>
  <c r="N290" i="3"/>
  <c r="I135" i="3"/>
  <c r="K130" i="3"/>
  <c r="L285" i="3"/>
  <c r="H61" i="3"/>
  <c r="J10" i="3"/>
  <c r="I190" i="3"/>
  <c r="G299" i="3"/>
  <c r="H40" i="3"/>
  <c r="N292" i="3"/>
  <c r="E196" i="3"/>
  <c r="I265" i="3"/>
  <c r="L182" i="3"/>
  <c r="K282" i="3"/>
  <c r="K305" i="3"/>
  <c r="L84" i="3"/>
  <c r="J206" i="3"/>
  <c r="N40" i="3"/>
  <c r="F305" i="3"/>
  <c r="E117" i="3"/>
  <c r="E240" i="3"/>
  <c r="E65" i="3"/>
  <c r="G70" i="3"/>
  <c r="J83" i="3"/>
  <c r="E40" i="3"/>
  <c r="B3" i="23" s="1"/>
  <c r="N308" i="3"/>
  <c r="I197" i="3"/>
  <c r="F267" i="3"/>
  <c r="E9" i="3"/>
  <c r="G44" i="3"/>
  <c r="I165" i="3"/>
  <c r="K195" i="3"/>
  <c r="G85" i="3"/>
  <c r="L244" i="3"/>
  <c r="I59" i="3"/>
  <c r="L110" i="3"/>
  <c r="G240" i="3"/>
  <c r="E46" i="3"/>
  <c r="E8" i="3"/>
  <c r="F93" i="3"/>
  <c r="K281" i="3"/>
  <c r="G183" i="3"/>
  <c r="I71" i="3"/>
  <c r="G146" i="3"/>
  <c r="E156" i="3"/>
  <c r="J69" i="3"/>
  <c r="L144" i="3"/>
  <c r="F40" i="3"/>
  <c r="I232" i="3"/>
  <c r="K292" i="3"/>
  <c r="O55" i="3"/>
  <c r="F57" i="3"/>
  <c r="G108" i="3"/>
  <c r="L168" i="3"/>
  <c r="K207" i="3"/>
  <c r="F97" i="3"/>
  <c r="K83" i="3"/>
  <c r="G92" i="3"/>
  <c r="I131" i="3"/>
  <c r="J296" i="3"/>
  <c r="G4" i="3"/>
  <c r="L193" i="3"/>
  <c r="G90" i="3"/>
  <c r="L68" i="3"/>
  <c r="F94" i="3"/>
  <c r="K169" i="3"/>
  <c r="K10" i="3"/>
  <c r="F190" i="3"/>
  <c r="I7" i="3"/>
  <c r="F13" i="3"/>
  <c r="F296" i="3"/>
  <c r="J173" i="3"/>
  <c r="E115" i="3"/>
  <c r="K310" i="3"/>
  <c r="F109" i="3"/>
  <c r="G170" i="3"/>
  <c r="I209" i="3"/>
  <c r="L99" i="3"/>
  <c r="G156" i="3"/>
  <c r="E220" i="3"/>
  <c r="G83" i="3"/>
  <c r="K234" i="3"/>
  <c r="F273" i="3"/>
  <c r="K134" i="3"/>
  <c r="I240" i="3"/>
  <c r="J240" i="3"/>
  <c r="G5" i="3"/>
  <c r="I144" i="3"/>
  <c r="N46" i="3"/>
  <c r="G233" i="3"/>
  <c r="J82" i="3"/>
  <c r="M294" i="3"/>
  <c r="F61" i="3"/>
  <c r="J70" i="3"/>
  <c r="L308" i="3"/>
  <c r="K265" i="3"/>
  <c r="J198" i="3"/>
  <c r="K119" i="3"/>
  <c r="G123" i="3"/>
  <c r="L165" i="3"/>
  <c r="L146" i="3"/>
  <c r="K131" i="3"/>
  <c r="J219" i="3"/>
  <c r="J222" i="3"/>
  <c r="I243" i="3"/>
  <c r="L143" i="3"/>
  <c r="L123" i="3"/>
  <c r="L205" i="3"/>
  <c r="K205" i="3"/>
  <c r="E97" i="3"/>
  <c r="K185" i="3"/>
  <c r="G160" i="3"/>
  <c r="G224" i="3"/>
  <c r="P61" i="3"/>
  <c r="K132" i="3"/>
  <c r="F131" i="3"/>
  <c r="I217" i="3"/>
  <c r="K198" i="3"/>
  <c r="G110" i="3"/>
  <c r="P3" i="3"/>
  <c r="N55" i="3"/>
  <c r="N297" i="3"/>
  <c r="E147" i="3"/>
  <c r="K267" i="3"/>
  <c r="F280" i="3"/>
  <c r="L295" i="3"/>
  <c r="L207" i="3"/>
  <c r="O43" i="3"/>
  <c r="J168" i="3"/>
  <c r="K144" i="3"/>
  <c r="E223" i="3"/>
  <c r="K84" i="3"/>
  <c r="F106" i="3"/>
  <c r="I97" i="3"/>
  <c r="E280" i="3"/>
  <c r="K193" i="3"/>
  <c r="E180" i="3"/>
  <c r="K115" i="3"/>
  <c r="G258" i="3"/>
  <c r="F242" i="3"/>
  <c r="L109" i="3"/>
  <c r="K242" i="3"/>
  <c r="F5" i="3"/>
  <c r="J274" i="3"/>
  <c r="K148" i="3"/>
  <c r="K271" i="3"/>
  <c r="I221" i="3"/>
  <c r="E268" i="3"/>
  <c r="J11" i="3"/>
  <c r="E249" i="3"/>
  <c r="K284" i="3"/>
  <c r="J84" i="3"/>
  <c r="J305" i="3"/>
  <c r="F221" i="3"/>
  <c r="K122" i="3"/>
  <c r="L117" i="3"/>
  <c r="L115" i="3"/>
  <c r="N13" i="3"/>
  <c r="E274" i="3"/>
  <c r="F95" i="3"/>
  <c r="K95" i="3"/>
  <c r="G290" i="3"/>
  <c r="G72" i="3"/>
  <c r="G46" i="3"/>
  <c r="J165" i="3"/>
  <c r="K223" i="3"/>
  <c r="E299" i="3"/>
  <c r="O47" i="3"/>
  <c r="K72" i="3"/>
  <c r="E118" i="3"/>
  <c r="K4" i="3"/>
  <c r="N296" i="3"/>
  <c r="F247" i="3"/>
  <c r="H59" i="3"/>
  <c r="F192" i="3"/>
  <c r="E4" i="3"/>
  <c r="K297" i="3"/>
  <c r="K123" i="3"/>
  <c r="G43" i="3"/>
  <c r="L274" i="3"/>
  <c r="J290" i="3"/>
  <c r="J97" i="3"/>
  <c r="K165" i="3"/>
  <c r="M306" i="3"/>
  <c r="G221" i="3"/>
  <c r="E121" i="3"/>
  <c r="H49" i="3"/>
  <c r="K199" i="3"/>
  <c r="E3" i="3"/>
  <c r="F149" i="3"/>
  <c r="K299" i="3"/>
  <c r="K146" i="3"/>
  <c r="K142" i="3"/>
  <c r="G274" i="3"/>
  <c r="J98" i="3"/>
  <c r="J142" i="3"/>
  <c r="K13" i="3"/>
  <c r="F173" i="3"/>
  <c r="F110" i="3"/>
  <c r="I95" i="3"/>
  <c r="E269" i="3"/>
  <c r="J130" i="3"/>
  <c r="F197" i="3"/>
  <c r="I58" i="3"/>
  <c r="K183" i="3"/>
  <c r="H45" i="3"/>
  <c r="J220" i="3"/>
  <c r="E143" i="3"/>
  <c r="G158" i="3"/>
  <c r="L307" i="3"/>
  <c r="J210" i="3"/>
  <c r="L265" i="3"/>
  <c r="K235" i="3"/>
  <c r="J119" i="3"/>
  <c r="K73" i="3"/>
  <c r="G171" i="3"/>
  <c r="F224" i="3"/>
  <c r="F309" i="3"/>
  <c r="K295" i="3"/>
  <c r="J160" i="3"/>
  <c r="G267" i="3"/>
  <c r="K245" i="3"/>
  <c r="F155" i="3"/>
  <c r="I235" i="3"/>
  <c r="I45" i="3"/>
  <c r="L74" i="3"/>
  <c r="I105" i="3"/>
  <c r="M296" i="3"/>
  <c r="I121" i="3"/>
  <c r="J105" i="3"/>
  <c r="I93" i="3"/>
  <c r="G285" i="3"/>
  <c r="G308" i="3"/>
  <c r="I46" i="3"/>
  <c r="L155" i="3"/>
  <c r="E5" i="3"/>
  <c r="J283" i="3"/>
  <c r="L242" i="3"/>
  <c r="E257" i="3"/>
  <c r="L292" i="3"/>
  <c r="K65" i="3"/>
  <c r="K184" i="3"/>
  <c r="L106" i="3"/>
  <c r="G3" i="3"/>
  <c r="K6" i="3"/>
  <c r="E74" i="3"/>
  <c r="G282" i="3"/>
  <c r="F297" i="3"/>
  <c r="J108" i="3"/>
  <c r="L306" i="3"/>
  <c r="H48" i="3"/>
  <c r="J209" i="3"/>
  <c r="L173" i="3"/>
  <c r="I10" i="3"/>
  <c r="F271" i="3"/>
  <c r="J135" i="3"/>
  <c r="J217" i="3"/>
  <c r="J94" i="3"/>
  <c r="F59" i="3"/>
  <c r="G65" i="3"/>
  <c r="L174" i="3"/>
  <c r="G59" i="3"/>
  <c r="F65" i="3"/>
  <c r="K155" i="3"/>
  <c r="L92" i="3"/>
  <c r="E221" i="3"/>
  <c r="F220" i="3"/>
  <c r="L293" i="3"/>
  <c r="K283" i="3"/>
  <c r="P59" i="3"/>
  <c r="E194" i="3"/>
  <c r="L284" i="3"/>
  <c r="I92" i="3"/>
  <c r="G99" i="3"/>
  <c r="K296" i="3"/>
  <c r="E45" i="3"/>
  <c r="G273" i="3"/>
  <c r="K290" i="3"/>
  <c r="J156" i="3"/>
  <c r="I84" i="3"/>
  <c r="F132" i="3"/>
  <c r="G68" i="3"/>
  <c r="J193" i="3"/>
  <c r="F7" i="3"/>
  <c r="F232" i="3"/>
  <c r="H46" i="3"/>
  <c r="E173" i="3"/>
  <c r="G196" i="3"/>
  <c r="J260" i="3"/>
  <c r="G210" i="3"/>
  <c r="I142" i="3"/>
  <c r="F222" i="3"/>
  <c r="N294" i="3"/>
  <c r="J310" i="3"/>
  <c r="I260" i="3"/>
  <c r="K306" i="3"/>
  <c r="K135" i="3"/>
  <c r="E133" i="3"/>
  <c r="G107" i="3"/>
  <c r="K258" i="3"/>
  <c r="K233" i="3"/>
  <c r="K182" i="3"/>
  <c r="L169" i="3"/>
  <c r="G296" i="3"/>
  <c r="G9" i="3"/>
  <c r="E85" i="3"/>
  <c r="J181" i="3"/>
  <c r="G61" i="3"/>
  <c r="V6" i="23" s="1"/>
  <c r="F133" i="3"/>
  <c r="F98" i="3"/>
  <c r="I219" i="3"/>
  <c r="L269" i="3"/>
  <c r="J307" i="3"/>
  <c r="J158" i="3"/>
  <c r="K105" i="3"/>
  <c r="I282" i="3"/>
  <c r="I234" i="3"/>
  <c r="I182" i="3"/>
  <c r="J110" i="3"/>
  <c r="H56" i="3"/>
  <c r="L82" i="3"/>
  <c r="G122" i="3"/>
  <c r="J122" i="3"/>
  <c r="E224" i="3"/>
  <c r="L310" i="3"/>
  <c r="J297" i="3"/>
  <c r="I132" i="3"/>
  <c r="I283" i="3"/>
  <c r="K108" i="3"/>
  <c r="F58" i="3"/>
  <c r="J233" i="3"/>
  <c r="E242" i="3"/>
  <c r="F274" i="3"/>
  <c r="K269" i="3"/>
  <c r="F158" i="3"/>
  <c r="J267" i="3"/>
  <c r="J306" i="3"/>
  <c r="I106" i="3"/>
  <c r="G130" i="3"/>
  <c r="I48" i="3"/>
  <c r="E184" i="3"/>
  <c r="F118" i="3"/>
  <c r="G298" i="3"/>
  <c r="H47" i="3"/>
  <c r="O61" i="3"/>
  <c r="F285" i="3"/>
  <c r="K157" i="3"/>
  <c r="E172" i="3"/>
  <c r="P55" i="3"/>
  <c r="J133" i="3"/>
  <c r="E308" i="3"/>
  <c r="G133" i="3"/>
  <c r="F196" i="3"/>
  <c r="G115" i="3"/>
  <c r="I146" i="3"/>
  <c r="F44" i="3"/>
  <c r="I284" i="3"/>
  <c r="I40" i="3"/>
  <c r="K171" i="3"/>
  <c r="I148" i="3"/>
  <c r="E105" i="3"/>
  <c r="L280" i="3"/>
  <c r="I69" i="3"/>
  <c r="F308" i="3"/>
  <c r="J71" i="3"/>
  <c r="L240" i="3"/>
  <c r="J118" i="3"/>
  <c r="L224" i="3"/>
  <c r="J4" i="3"/>
  <c r="E99" i="3"/>
  <c r="F248" i="3"/>
  <c r="L160" i="3"/>
  <c r="L71" i="3"/>
  <c r="I85" i="3"/>
  <c r="J185" i="3"/>
  <c r="G8" i="3"/>
  <c r="J196" i="3"/>
  <c r="H55" i="3"/>
  <c r="E165" i="3"/>
  <c r="L232" i="3"/>
  <c r="F12" i="3"/>
  <c r="L235" i="3"/>
  <c r="L72" i="3"/>
  <c r="E256" i="3"/>
  <c r="N307" i="3"/>
  <c r="E282" i="3"/>
  <c r="K273" i="3"/>
  <c r="G283" i="3"/>
  <c r="F294" i="3"/>
  <c r="E120" i="3"/>
  <c r="G69" i="3"/>
  <c r="I5" i="3"/>
  <c r="G197" i="3"/>
  <c r="L243" i="3"/>
  <c r="N310" i="3"/>
  <c r="F117" i="3"/>
  <c r="K85" i="3"/>
  <c r="J248" i="3"/>
  <c r="I274" i="3"/>
  <c r="E107" i="3"/>
  <c r="E232" i="3"/>
  <c r="J145" i="3"/>
  <c r="F43" i="3"/>
  <c r="E145" i="3"/>
  <c r="I173" i="3"/>
  <c r="J259" i="3"/>
  <c r="F244" i="3"/>
  <c r="J115" i="3"/>
  <c r="L222" i="3"/>
  <c r="G119" i="3"/>
  <c r="J234" i="3"/>
  <c r="I193" i="3"/>
  <c r="I156" i="3"/>
  <c r="N45" i="3"/>
  <c r="O49" i="3"/>
  <c r="K260" i="3"/>
  <c r="L195" i="3"/>
  <c r="L271" i="3"/>
  <c r="E293" i="3"/>
  <c r="J107" i="3"/>
  <c r="I180" i="3"/>
  <c r="J224" i="3"/>
  <c r="P44" i="3"/>
  <c r="L148" i="3"/>
  <c r="L119" i="3"/>
  <c r="I196" i="3"/>
  <c r="J298" i="3"/>
  <c r="J144" i="3"/>
  <c r="G293" i="3"/>
  <c r="L290" i="3"/>
  <c r="I108" i="3"/>
  <c r="I268" i="3"/>
  <c r="F122" i="3"/>
  <c r="I255" i="3"/>
  <c r="F72" i="3"/>
  <c r="G292" i="3"/>
  <c r="E260" i="3"/>
  <c r="G249" i="3"/>
  <c r="E183" i="3"/>
  <c r="I270" i="3"/>
  <c r="I271" i="3"/>
  <c r="L145" i="3"/>
  <c r="G117" i="3"/>
  <c r="J9" i="3"/>
  <c r="I233" i="3"/>
  <c r="E108" i="3"/>
  <c r="I159" i="3"/>
  <c r="E297" i="3"/>
  <c r="G7" i="3"/>
  <c r="J270" i="3"/>
  <c r="F47" i="3"/>
  <c r="L185" i="3"/>
  <c r="K208" i="3"/>
  <c r="E144" i="3"/>
  <c r="F135" i="3"/>
  <c r="L180" i="3"/>
  <c r="I256" i="3"/>
  <c r="K120" i="3"/>
  <c r="E206" i="3"/>
  <c r="G247" i="3"/>
  <c r="E208" i="3"/>
  <c r="K121" i="3"/>
  <c r="L298" i="3"/>
  <c r="E273" i="3"/>
  <c r="I72" i="3"/>
  <c r="G109" i="3"/>
  <c r="K268" i="3"/>
  <c r="M293" i="3"/>
  <c r="N49" i="3"/>
  <c r="J293" i="3"/>
  <c r="I269" i="3"/>
  <c r="L90" i="3"/>
  <c r="E243" i="3"/>
  <c r="G45" i="3"/>
  <c r="T5" i="23" s="1"/>
  <c r="J96" i="3"/>
  <c r="G185" i="3"/>
  <c r="F156" i="3"/>
  <c r="N298" i="3"/>
  <c r="G121" i="3"/>
  <c r="K180" i="3"/>
  <c r="K294" i="3"/>
  <c r="E13" i="3"/>
  <c r="I6" i="3"/>
  <c r="J120" i="3"/>
  <c r="F310" i="3"/>
  <c r="N309" i="3"/>
  <c r="J7" i="3"/>
  <c r="J223" i="3"/>
  <c r="E198" i="3"/>
  <c r="K307" i="3"/>
  <c r="G310" i="3"/>
  <c r="L184" i="3"/>
  <c r="K190" i="3"/>
  <c r="K149" i="3"/>
  <c r="K206" i="3"/>
  <c r="P57" i="3"/>
  <c r="L134" i="3"/>
  <c r="E95" i="3"/>
  <c r="G10" i="3"/>
  <c r="I280" i="3"/>
  <c r="H44" i="3"/>
  <c r="F146" i="3"/>
  <c r="G157" i="3"/>
  <c r="E168" i="3"/>
  <c r="F223" i="3"/>
  <c r="E110" i="3"/>
  <c r="G167" i="3"/>
  <c r="K209" i="3"/>
  <c r="J73" i="3"/>
  <c r="L234" i="3"/>
  <c r="E219" i="3"/>
  <c r="L259" i="3"/>
  <c r="I120" i="3"/>
  <c r="F209" i="3"/>
  <c r="J68" i="3"/>
  <c r="O59" i="3"/>
  <c r="M290" i="3"/>
  <c r="E283" i="3"/>
  <c r="F167" i="3"/>
  <c r="J180" i="3"/>
  <c r="E181" i="3"/>
  <c r="G295" i="3"/>
  <c r="P56" i="3"/>
  <c r="N295" i="3"/>
  <c r="F174" i="3"/>
  <c r="E69" i="3"/>
  <c r="G40" i="3"/>
  <c r="T7" i="23" s="1"/>
  <c r="J243" i="3"/>
  <c r="F142" i="3"/>
  <c r="L296" i="3"/>
  <c r="L10" i="3"/>
  <c r="L257" i="3"/>
  <c r="P49" i="3"/>
  <c r="E193" i="3"/>
  <c r="I157" i="3"/>
  <c r="F10" i="3"/>
  <c r="F171" i="3"/>
  <c r="I12" i="3"/>
  <c r="P48" i="3"/>
  <c r="E56" i="3"/>
  <c r="I110" i="3"/>
  <c r="L95" i="3"/>
  <c r="I158" i="3"/>
  <c r="J6" i="3"/>
  <c r="G165" i="3"/>
  <c r="G11" i="3"/>
  <c r="F48" i="3"/>
  <c r="L258" i="3"/>
  <c r="F282" i="3"/>
  <c r="L294" i="3"/>
  <c r="K5" i="3"/>
  <c r="E148" i="3"/>
  <c r="G260" i="3"/>
  <c r="L297" i="3"/>
  <c r="E290" i="3"/>
  <c r="G131" i="3"/>
  <c r="J170" i="3"/>
  <c r="K270" i="3"/>
  <c r="J184" i="3"/>
  <c r="F295" i="3"/>
  <c r="E149" i="3"/>
  <c r="G208" i="3"/>
  <c r="L70" i="3"/>
  <c r="F205" i="3"/>
  <c r="O58" i="3"/>
  <c r="G142" i="3"/>
  <c r="L159" i="3"/>
  <c r="J207" i="3"/>
  <c r="E271" i="3"/>
  <c r="F84" i="3"/>
  <c r="I194" i="3"/>
  <c r="I199" i="3"/>
  <c r="K143" i="3"/>
  <c r="I245" i="3"/>
  <c r="L85" i="3"/>
  <c r="K97" i="3"/>
  <c r="E132" i="3"/>
  <c r="G144" i="3"/>
  <c r="G135" i="3"/>
  <c r="L157" i="3"/>
  <c r="L309" i="3"/>
  <c r="I56" i="3"/>
  <c r="E157" i="3"/>
  <c r="F233" i="3"/>
  <c r="J268" i="3"/>
  <c r="K90" i="3"/>
  <c r="E218" i="3"/>
  <c r="F269" i="3"/>
  <c r="P40" i="3"/>
  <c r="G55" i="3"/>
  <c r="J218" i="3"/>
  <c r="F172" i="3"/>
  <c r="K210" i="3"/>
  <c r="E298" i="3"/>
  <c r="L9" i="3"/>
  <c r="O40" i="3"/>
  <c r="I9" i="3"/>
  <c r="M298" i="3"/>
  <c r="G13" i="3"/>
  <c r="G265" i="3"/>
  <c r="I94" i="3"/>
  <c r="H58" i="3"/>
  <c r="L223" i="3"/>
  <c r="L73" i="3"/>
  <c r="G96" i="3"/>
  <c r="E130" i="3"/>
  <c r="F180" i="3"/>
  <c r="F195" i="3"/>
  <c r="P47" i="3"/>
  <c r="I65" i="3"/>
  <c r="J232" i="3"/>
  <c r="L196" i="3"/>
  <c r="K240" i="3"/>
  <c r="L11" i="3"/>
  <c r="L8" i="3"/>
  <c r="E83" i="3"/>
  <c r="N293" i="3"/>
  <c r="L69" i="3"/>
  <c r="G245" i="3"/>
  <c r="E205" i="3"/>
  <c r="F90" i="3"/>
  <c r="K12" i="3"/>
  <c r="L270" i="3"/>
  <c r="I258" i="3"/>
  <c r="I98" i="3"/>
  <c r="L219" i="3"/>
  <c r="I130" i="3"/>
  <c r="J12" i="3"/>
  <c r="E43" i="3"/>
  <c r="F198" i="3"/>
  <c r="E109" i="3"/>
  <c r="G306" i="3"/>
  <c r="K94" i="3"/>
  <c r="G223" i="3"/>
  <c r="E72" i="3"/>
  <c r="L121" i="3"/>
  <c r="J149" i="3"/>
  <c r="E7" i="3"/>
  <c r="L221" i="3"/>
  <c r="K274" i="3"/>
  <c r="J244" i="3"/>
  <c r="L7" i="3"/>
  <c r="I133" i="3"/>
  <c r="I134" i="3"/>
  <c r="G147" i="3"/>
  <c r="K82" i="3"/>
  <c r="L256" i="3"/>
  <c r="K156" i="3"/>
  <c r="F73" i="3"/>
  <c r="G192" i="3"/>
  <c r="J295" i="3"/>
  <c r="L93" i="3"/>
  <c r="F115" i="3"/>
  <c r="I183" i="3"/>
  <c r="G182" i="3"/>
  <c r="K285" i="3"/>
  <c r="N59" i="3"/>
  <c r="M295" i="3"/>
  <c r="I218" i="3"/>
  <c r="E93" i="3"/>
  <c r="G47" i="3"/>
  <c r="J13" i="3"/>
  <c r="K298" i="3"/>
  <c r="L192" i="3"/>
  <c r="I160" i="3"/>
  <c r="K272" i="3"/>
  <c r="J299" i="3"/>
  <c r="I249" i="3"/>
  <c r="F82" i="3"/>
  <c r="I210" i="3"/>
  <c r="G58" i="3"/>
  <c r="I185" i="3"/>
  <c r="K159" i="3"/>
  <c r="L97" i="3"/>
  <c r="K99" i="3"/>
  <c r="I220" i="3"/>
  <c r="I259" i="3"/>
  <c r="F259" i="3"/>
  <c r="F121" i="3"/>
  <c r="K249" i="3"/>
  <c r="J5" i="3"/>
  <c r="I143" i="3"/>
  <c r="L208" i="3"/>
  <c r="F206" i="3"/>
  <c r="I147" i="3"/>
  <c r="F8" i="3"/>
  <c r="K243" i="3"/>
  <c r="E258" i="3"/>
  <c r="E58" i="3"/>
  <c r="P43" i="3"/>
  <c r="L305" i="3"/>
  <c r="J235" i="3"/>
  <c r="I169" i="3"/>
  <c r="J183" i="3"/>
  <c r="G82" i="3"/>
  <c r="L107" i="3"/>
  <c r="L247" i="3"/>
  <c r="I11" i="3"/>
  <c r="J294" i="3"/>
  <c r="I198" i="3"/>
  <c r="F260" i="3"/>
  <c r="I83" i="3"/>
  <c r="F6" i="3"/>
  <c r="K98" i="3"/>
  <c r="K259" i="3"/>
  <c r="N43" i="3"/>
  <c r="G271" i="3"/>
  <c r="G257" i="3"/>
  <c r="L220" i="3"/>
  <c r="M309" i="3"/>
  <c r="I248" i="3"/>
  <c r="J123" i="3"/>
  <c r="K8" i="3"/>
  <c r="M308" i="3"/>
  <c r="G270" i="3"/>
  <c r="E171" i="3"/>
  <c r="F74" i="3"/>
  <c r="G57" i="3"/>
  <c r="T6" i="23" s="1"/>
  <c r="F284" i="3"/>
  <c r="G234" i="3"/>
  <c r="G145" i="3"/>
  <c r="F69" i="3"/>
  <c r="G174" i="3"/>
  <c r="K107" i="3"/>
  <c r="L5" i="3"/>
  <c r="F92" i="3"/>
  <c r="I145" i="3"/>
  <c r="N61" i="3"/>
  <c r="G198" i="3"/>
  <c r="I205" i="3"/>
  <c r="F292" i="3"/>
  <c r="E209" i="3"/>
  <c r="J148" i="3"/>
  <c r="J155" i="3"/>
  <c r="K160" i="3"/>
  <c r="N48" i="3"/>
  <c r="K181" i="3"/>
  <c r="I167" i="3"/>
  <c r="I61" i="3"/>
  <c r="K172" i="3"/>
  <c r="L267" i="3"/>
  <c r="O44" i="3"/>
  <c r="J106" i="3"/>
  <c r="J182" i="3"/>
  <c r="I3" i="3"/>
  <c r="J271" i="3"/>
  <c r="F160" i="3"/>
  <c r="F234" i="3"/>
  <c r="I73" i="3"/>
  <c r="M307" i="3"/>
  <c r="I181" i="3"/>
  <c r="F144" i="3"/>
  <c r="K70" i="3"/>
  <c r="J245" i="3"/>
  <c r="F270" i="3"/>
  <c r="G195" i="3"/>
  <c r="I224" i="3"/>
  <c r="L94" i="3"/>
  <c r="F184" i="3"/>
  <c r="J174" i="3"/>
  <c r="L268" i="3"/>
  <c r="G159" i="3"/>
  <c r="I172" i="3"/>
  <c r="G74" i="3"/>
  <c r="G106" i="3"/>
  <c r="E292" i="3"/>
  <c r="F181" i="3"/>
  <c r="L158" i="3"/>
  <c r="K222" i="3"/>
  <c r="M292" i="3"/>
  <c r="J281" i="3"/>
  <c r="J65" i="3"/>
  <c r="L245" i="3"/>
  <c r="K257" i="3"/>
  <c r="J247" i="3"/>
  <c r="G105" i="3"/>
  <c r="J205" i="3"/>
  <c r="G209" i="3"/>
  <c r="J258" i="3"/>
  <c r="E167" i="3"/>
  <c r="J242" i="3"/>
  <c r="L206" i="3"/>
  <c r="G199" i="3"/>
  <c r="M299" i="3"/>
  <c r="J199" i="3"/>
  <c r="L149" i="3"/>
  <c r="I70" i="3"/>
  <c r="G281" i="3"/>
  <c r="E160" i="3"/>
  <c r="G269" i="3"/>
  <c r="E207" i="3"/>
  <c r="I123" i="3"/>
  <c r="K174" i="3"/>
  <c r="J93" i="3"/>
  <c r="E259" i="3"/>
  <c r="I192" i="3"/>
  <c r="G148" i="3"/>
  <c r="G309" i="3"/>
  <c r="E48" i="3"/>
  <c r="K147" i="3"/>
  <c r="E217" i="3"/>
  <c r="H57" i="3"/>
  <c r="F71" i="3"/>
  <c r="F165" i="3"/>
  <c r="F182" i="3"/>
  <c r="F208" i="3"/>
  <c r="P46" i="3"/>
  <c r="M13" i="3"/>
  <c r="F193" i="3"/>
  <c r="F70" i="3"/>
  <c r="K224" i="3"/>
  <c r="L194" i="3"/>
  <c r="K280" i="3"/>
  <c r="K244" i="3"/>
  <c r="F185" i="3"/>
  <c r="L283" i="3"/>
  <c r="F306" i="3"/>
  <c r="L130" i="3"/>
  <c r="N58" i="3"/>
  <c r="G56" i="3"/>
  <c r="G93" i="3"/>
  <c r="F245" i="3"/>
  <c r="J92" i="3"/>
  <c r="E294" i="3"/>
  <c r="F148" i="3"/>
  <c r="J292" i="3"/>
  <c r="L218" i="3"/>
  <c r="O45" i="3"/>
  <c r="F145" i="3"/>
  <c r="E135" i="3"/>
  <c r="I4" i="3"/>
  <c r="J192" i="3"/>
  <c r="L172" i="3"/>
  <c r="G272" i="3"/>
  <c r="O46" i="3"/>
  <c r="E119" i="3"/>
  <c r="E158" i="3"/>
  <c r="G194" i="3"/>
  <c r="F4" i="3"/>
  <c r="I170" i="3"/>
  <c r="K11" i="3"/>
  <c r="E124" i="3"/>
  <c r="G94" i="3"/>
  <c r="I273" i="3"/>
  <c r="G307" i="3"/>
  <c r="J195" i="3"/>
  <c r="F258" i="3"/>
  <c r="J190" i="3"/>
  <c r="F256" i="3"/>
  <c r="J72" i="3"/>
  <c r="J134" i="3"/>
  <c r="G71" i="3"/>
  <c r="L210" i="3"/>
  <c r="G184" i="3"/>
  <c r="G190" i="3"/>
  <c r="I107" i="3"/>
  <c r="F265" i="3"/>
  <c r="E296" i="3"/>
  <c r="E159" i="3"/>
  <c r="G222" i="3"/>
  <c r="I195" i="3"/>
  <c r="F120" i="3"/>
  <c r="F290" i="3"/>
  <c r="F210" i="3"/>
  <c r="L124" i="3"/>
  <c r="F108" i="3"/>
  <c r="E131" i="3"/>
  <c r="E199" i="3"/>
  <c r="E295" i="3"/>
  <c r="I68" i="3"/>
  <c r="I206" i="3"/>
  <c r="J146" i="3"/>
  <c r="G243" i="3"/>
  <c r="G181" i="3"/>
  <c r="G155" i="3"/>
  <c r="O48" i="3"/>
  <c r="K221" i="3"/>
  <c r="K197" i="3"/>
  <c r="F143" i="3"/>
  <c r="K7" i="3"/>
  <c r="F169" i="3"/>
  <c r="M310" i="3"/>
  <c r="F268" i="3"/>
  <c r="K192" i="3"/>
  <c r="L171" i="3"/>
  <c r="E73" i="3"/>
  <c r="J285" i="3"/>
  <c r="L167" i="3"/>
  <c r="J282" i="3"/>
  <c r="F123" i="3"/>
  <c r="K92" i="3"/>
  <c r="I44" i="3"/>
  <c r="I207" i="3"/>
  <c r="E82" i="3"/>
  <c r="J172" i="3"/>
  <c r="G207" i="3"/>
  <c r="J249" i="3"/>
  <c r="F49" i="3"/>
  <c r="E247" i="3"/>
  <c r="F257" i="3"/>
  <c r="L142" i="3"/>
  <c r="F107" i="3"/>
  <c r="L217" i="3"/>
  <c r="J309" i="3"/>
  <c r="I82" i="3"/>
  <c r="K248" i="3"/>
  <c r="I122" i="3"/>
  <c r="L299" i="3"/>
  <c r="L105" i="3"/>
  <c r="G97" i="3"/>
  <c r="L282" i="3"/>
  <c r="J109" i="3"/>
  <c r="E49" i="3"/>
  <c r="F9" i="3"/>
  <c r="E265" i="3"/>
  <c r="J197" i="3"/>
  <c r="E47" i="3"/>
  <c r="L65" i="3"/>
  <c r="I55" i="3"/>
  <c r="E94" i="3"/>
  <c r="L131" i="3"/>
  <c r="F46" i="3"/>
  <c r="F105" i="3"/>
  <c r="F45" i="3"/>
  <c r="F83" i="3"/>
  <c r="L273" i="3"/>
  <c r="J257" i="3"/>
  <c r="F130" i="3"/>
  <c r="E285" i="3"/>
  <c r="F159" i="3"/>
  <c r="E210" i="3"/>
  <c r="L248" i="3"/>
  <c r="J308" i="3"/>
  <c r="I223" i="3"/>
  <c r="G173" i="3"/>
  <c r="J284" i="3"/>
  <c r="F96" i="3"/>
  <c r="N47" i="3"/>
  <c r="J90" i="3"/>
  <c r="G143" i="3"/>
  <c r="G242" i="3"/>
  <c r="L13" i="3"/>
  <c r="J117" i="3"/>
  <c r="L255" i="3"/>
  <c r="E61" i="3"/>
  <c r="E10" i="3"/>
  <c r="G217" i="3"/>
  <c r="G118" i="3"/>
  <c r="F119" i="3"/>
  <c r="F56" i="3"/>
  <c r="E307" i="3"/>
  <c r="E281" i="3"/>
  <c r="J273" i="3"/>
  <c r="E106" i="3"/>
  <c r="I90" i="3"/>
  <c r="F272" i="3"/>
  <c r="K217" i="3"/>
  <c r="N3" i="3"/>
  <c r="J8" i="3"/>
  <c r="K71" i="3"/>
  <c r="I257" i="3"/>
  <c r="I115" i="3"/>
  <c r="G297" i="3"/>
  <c r="J95" i="3"/>
  <c r="J280" i="3"/>
  <c r="J194" i="3"/>
  <c r="J157" i="3"/>
  <c r="K74" i="3"/>
  <c r="K118" i="3"/>
  <c r="G255" i="3"/>
  <c r="E248" i="3"/>
  <c r="O56" i="3"/>
  <c r="E96" i="3"/>
  <c r="K109" i="3"/>
  <c r="J208" i="3"/>
  <c r="J132" i="3"/>
  <c r="K247" i="3"/>
  <c r="F194" i="3"/>
  <c r="K293" i="3"/>
  <c r="N57" i="3"/>
  <c r="E195" i="3"/>
  <c r="J99" i="3"/>
  <c r="E233" i="3"/>
  <c r="I242" i="3"/>
  <c r="F168" i="3"/>
  <c r="E222" i="3"/>
  <c r="G220" i="3"/>
  <c r="E245" i="3"/>
  <c r="G232" i="3"/>
  <c r="J265" i="3"/>
  <c r="L96" i="3"/>
  <c r="G193" i="3"/>
  <c r="J121" i="3"/>
  <c r="I155" i="3"/>
  <c r="E234" i="3"/>
  <c r="T4" i="23" l="1"/>
  <c r="V5"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Dexter Simington</author>
  </authors>
  <commentList>
    <comment ref="G1" authorId="0" shapeId="0" xr:uid="{F1FABDED-D072-48E2-B005-F4768B8DDE2C}">
      <text>
        <r>
          <rPr>
            <b/>
            <sz val="9"/>
            <color indexed="81"/>
            <rFont val="Tahoma"/>
            <family val="2"/>
          </rPr>
          <t>Macro F1</t>
        </r>
        <r>
          <rPr>
            <sz val="9"/>
            <color indexed="81"/>
            <rFont val="Tahoma"/>
            <family val="2"/>
          </rPr>
          <t xml:space="preserve"> - Compute F1 per class, then average equally across classes so every class gets equal weight, so this highlights minority-class performance.
</t>
        </r>
        <r>
          <rPr>
            <sz val="9"/>
            <color indexed="81"/>
            <rFont val="Tahoma"/>
            <family val="2"/>
          </rPr>
          <t xml:space="preserve">
If macro-F1 is much lower than micro-F1, the model is likely doing much better on frequent classes than rare ones.</t>
        </r>
      </text>
    </comment>
    <comment ref="H1" authorId="0" shapeId="0" xr:uid="{04410FE3-21A5-4393-AC1E-F910E4F6B4B1}">
      <text>
        <r>
          <rPr>
            <b/>
            <sz val="9"/>
            <color indexed="81"/>
            <rFont val="Tahoma"/>
            <family val="2"/>
          </rPr>
          <t>Micro F1</t>
        </r>
        <r>
          <rPr>
            <sz val="9"/>
            <color indexed="81"/>
            <rFont val="Tahoma"/>
            <family val="2"/>
          </rPr>
          <t xml:space="preserve"> - Compute F1 from micro-precision where a single overall balance of precision and recall, weighted by total instance counts (so big classes dominate).
If macro-F1 is much lower than micro-F1, the model is likely doing much better on frequent classes than rare ones.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Dexter Simington</author>
  </authors>
  <commentList>
    <comment ref="F1" authorId="0" shapeId="0" xr:uid="{BA48DC75-6897-4E70-922D-CC22E4E67B25}">
      <text>
        <r>
          <rPr>
            <b/>
            <sz val="9"/>
            <color indexed="81"/>
            <rFont val="Tahoma"/>
            <family val="2"/>
          </rPr>
          <t>Support</t>
        </r>
        <r>
          <rPr>
            <sz val="9"/>
            <color indexed="81"/>
            <rFont val="Tahoma"/>
            <family val="2"/>
          </rPr>
          <t xml:space="preserve">
is the number of true examples for a class in the evaluation set.</t>
        </r>
      </text>
    </comment>
    <comment ref="B2" authorId="0" shapeId="0" xr:uid="{5A6EB778-6ED8-4666-98A0-4C736EAF1EAF}">
      <text>
        <r>
          <rPr>
            <b/>
            <sz val="9"/>
            <color indexed="81"/>
            <rFont val="Tahoma"/>
            <family val="2"/>
          </rPr>
          <t>micro_precision</t>
        </r>
        <r>
          <rPr>
            <sz val="9"/>
            <color indexed="81"/>
            <rFont val="Tahoma"/>
            <family val="2"/>
          </rPr>
          <t xml:space="preserve">
Precision computed by pooling true positives, false positives, and false negatives across all classes first, then calculating precision:</t>
        </r>
      </text>
    </comment>
    <comment ref="C2" authorId="0" shapeId="0" xr:uid="{0F3FFEDF-5830-48DB-8C6A-0CAF780429A4}">
      <text>
        <r>
          <rPr>
            <b/>
            <sz val="9"/>
            <color indexed="81"/>
            <rFont val="Tahoma"/>
            <family val="2"/>
          </rPr>
          <t>micro_recall</t>
        </r>
        <r>
          <rPr>
            <sz val="9"/>
            <color indexed="81"/>
            <rFont val="Tahoma"/>
            <family val="2"/>
          </rPr>
          <t xml:space="preserve">
Recall computed by pooling true positives, false positives, and false negatives across all classes first, then calculating recall.
Tells you: “Of all true labels, how many did the model recover overall?”</t>
        </r>
      </text>
    </comment>
    <comment ref="D2" authorId="0" shapeId="0" xr:uid="{4325C470-2CAE-42C9-B6EB-BA6095BCD33F}">
      <text>
        <r>
          <rPr>
            <b/>
            <sz val="9"/>
            <color indexed="81"/>
            <rFont val="Tahoma"/>
            <family val="2"/>
          </rPr>
          <t>Macro F1</t>
        </r>
        <r>
          <rPr>
            <sz val="9"/>
            <color indexed="81"/>
            <rFont val="Tahoma"/>
            <family val="2"/>
          </rPr>
          <t xml:space="preserve"> - Compute F1 per class, then average equally across classes so every class gets equal weight, so this highlights minority-class performance.
</t>
        </r>
        <r>
          <rPr>
            <sz val="9"/>
            <color indexed="81"/>
            <rFont val="Tahoma"/>
            <family val="2"/>
          </rPr>
          <t xml:space="preserve">
If macro-F1 is much lower than micro-F1, the model is likely doing much better on frequent classes than rare ones.</t>
        </r>
      </text>
    </comment>
    <comment ref="E2" authorId="0" shapeId="0" xr:uid="{7805B095-E867-497C-9CFA-CD1DE725FC88}">
      <text>
        <r>
          <rPr>
            <b/>
            <sz val="9"/>
            <color indexed="81"/>
            <rFont val="Tahoma"/>
            <family val="2"/>
          </rPr>
          <t>Micro F1</t>
        </r>
        <r>
          <rPr>
            <sz val="9"/>
            <color indexed="81"/>
            <rFont val="Tahoma"/>
            <family val="2"/>
          </rPr>
          <t xml:space="preserve"> - Compute F1 from micro-precision where a single overall balance of precision and recall, weighted by total instance counts (so big classes dominate).
If macro-F1 is much lower than micro-F1, the model is likely doing much better on frequent classes than rare ones.</t>
        </r>
      </text>
    </comment>
    <comment ref="K2" authorId="0" shapeId="0" xr:uid="{EA77695A-AB66-48B6-9906-97634E17611E}">
      <text>
        <r>
          <rPr>
            <b/>
            <sz val="9"/>
            <color indexed="81"/>
            <rFont val="Tahoma"/>
            <family val="2"/>
          </rPr>
          <t>exact_match_accuracy</t>
        </r>
        <r>
          <rPr>
            <sz val="9"/>
            <color indexed="81"/>
            <rFont val="Tahoma"/>
            <family val="2"/>
          </rPr>
          <t xml:space="preserve">
strict multiclass accuracy. A prediction is correct only if the model picks the exact class (for example, class 2 vs class 4 matters).</t>
        </r>
      </text>
    </comment>
    <comment ref="A12" authorId="0" shapeId="0" xr:uid="{166D3824-49D0-460E-BEE4-D799401431A5}">
      <text>
        <r>
          <rPr>
            <b/>
            <sz val="9"/>
            <color indexed="81"/>
            <rFont val="Tahoma"/>
            <family val="2"/>
          </rPr>
          <t>unfair_binary</t>
        </r>
        <r>
          <rPr>
            <sz val="9"/>
            <color indexed="81"/>
            <rFont val="Tahoma"/>
            <family val="2"/>
          </rPr>
          <t xml:space="preserve">
Is the same evaluation, but after collapsing your multi-class labels into 2 classes:
unfair = any unfair clause type (your non-neutral classes)
not unfair = the neutral/none class</t>
        </r>
      </text>
    </comment>
    <comment ref="K12" authorId="0" shapeId="0" xr:uid="{016C2B18-BB5C-4351-9BC4-CE82BDD55B14}">
      <text>
        <r>
          <rPr>
            <b/>
            <sz val="9"/>
            <color indexed="81"/>
            <rFont val="Tahoma"/>
            <family val="2"/>
          </rPr>
          <t>unfair_binary accuracy:</t>
        </r>
        <r>
          <rPr>
            <sz val="9"/>
            <color indexed="81"/>
            <rFont val="Tahoma"/>
            <family val="2"/>
          </rPr>
          <t xml:space="preserve">
unfair_binary accuracy: binary accuracy after collapsing classes into unfair vs not unfair. Any unfair subtype is treated as the same positive label.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<sst xmlns="http://schemas.openxmlformats.org/spreadsheetml/2006/main" count="1506" uniqueCount="305">
  <si>
    <t>Precision</t>
  </si>
  <si>
    <t>Recall</t>
  </si>
  <si>
    <t>F1</t>
  </si>
  <si>
    <t>Support</t>
  </si>
  <si>
    <t>TP</t>
  </si>
  <si>
    <t>FP</t>
  </si>
  <si>
    <t>FN</t>
  </si>
  <si>
    <t>TN</t>
  </si>
  <si>
    <t>Accuracy</t>
  </si>
  <si>
    <t>invalid_prediction_count</t>
  </si>
  <si>
    <t>invalid_prediction_rate</t>
  </si>
  <si>
    <t>All</t>
  </si>
  <si>
    <t>micro_precision for all categories</t>
  </si>
  <si>
    <t>micro_recall for all categories</t>
  </si>
  <si>
    <t>num_examples</t>
  </si>
  <si>
    <t>exact_match_accuracy for all Categories</t>
  </si>
  <si>
    <t>unfair_binary</t>
  </si>
  <si>
    <t>Category</t>
  </si>
  <si>
    <t>B</t>
  </si>
  <si>
    <t>D</t>
  </si>
  <si>
    <t>E</t>
  </si>
  <si>
    <t>F</t>
  </si>
  <si>
    <t>G</t>
  </si>
  <si>
    <t>H</t>
  </si>
  <si>
    <t>I</t>
  </si>
  <si>
    <t>J</t>
  </si>
  <si>
    <t>K</t>
  </si>
  <si>
    <t>L</t>
  </si>
  <si>
    <t>Micro_F1</t>
  </si>
  <si>
    <t>Macro_F1</t>
  </si>
  <si>
    <t>F1 (Micro)</t>
  </si>
  <si>
    <t>C</t>
  </si>
  <si>
    <t>F1 Micro</t>
  </si>
  <si>
    <t>M</t>
  </si>
  <si>
    <t>## ROLE</t>
  </si>
  <si>
    <t>You are a legal expert specializing in European Consumer Law, specifically Directive 93/13/EEC. Your task is to analyze Terms of Service (TOS) clauses for "significant imbalances" between the rights and obligations of the parties.</t>
  </si>
  <si>
    <t xml:space="preserve">## Task: </t>
  </si>
  <si>
    <t>Analyze the provided Terms of Service (TOS) clause:</t>
  </si>
  <si>
    <t xml:space="preserve">- If the clause is balanced and legally sound, label it **[8]**. </t>
  </si>
  <si>
    <t xml:space="preserve">- If the clause is unfair, identify ALL applicable categories from **[0-7]**. </t>
  </si>
  <si>
    <t>- **Important**: If any category from 0-7 applies, do NOT include [8] in the label.</t>
  </si>
  <si>
    <t>--------------------------------------------------------------------------------------------------------------------------------------------------------------------------</t>
  </si>
  <si>
    <t>## LEGAL CATEGORIES &amp; DEFINITIONS</t>
  </si>
  <si>
    <t>### **0-Limitation of Liability:**</t>
  </si>
  <si>
    <t>**Definition**: In the context of a consumer service contract, a **Limitation of Liability** clause is a legal provision that seeks to restrict the amount and types of compensation (damages) a consumer can recover from a service provider in the event of a breach of contract, negligence, or other legal failures. While some limitations are standard, they become "unfair" when they create a significant imbalance in the rights and obligations of the parties to the detriment of the consumer.</t>
  </si>
  <si>
    <t>**Characteristics**:</t>
  </si>
  <si>
    <t>- **Broad and Blanket Exclusions**: The clause attempts to exclude liability for any loss or damage "howsoever arising," effectively stripping the consumer of any legal recourse regardless of the provider's level of fault.</t>
  </si>
  <si>
    <t>- **Arbitrary or Insignificant Liability Caps**: The provider limits their total financial responsibility to an incredibly low or arbitrary sum (such as $100 or the price of a single order) that does not reflect the actual harm a consumer might suffer.</t>
  </si>
  <si>
    <t>- **Exclusion of Foreseeable Indirect Losses**: The terms bar consumers from seeking compensation for "consequential," "indirect," or "incidental" damages, such as the loss of data, personal reputation, or goodwill, even when these losses are a direct result of the provider's failure.</t>
  </si>
  <si>
    <t>- **Disclaiming Responsibility for Third Parties**: The clause absolves the service provider of any liability for the conduct, errors, or omissions of third-party partners, advertisers, or other users, even if the provider facilitated those interactions.</t>
  </si>
  <si>
    <t>- **No Accountability for Service Reliability**: The provider claims no responsibility for service interruptions, technical errors, inaccuracies, or the complete unavailability of the service, regardless of the cause or duration.</t>
  </si>
  <si>
    <t>- **Absolute Waiver of Refund Rights**: The terms state that the consumer is not entitled to a refund for any reason, including instances where the account is closed involuntarily or the service is not provided as promised.</t>
  </si>
  <si>
    <t>- **Shielding Against Negligence**: The clause attempts to protect the provider from liability even in cases of their own negligence, "gross negligence," or "willful misconduct," which often exceeds what is legally permissible in consumer protection law.</t>
  </si>
  <si>
    <t>- **Vague "Force Majeure" Overreach**: The provider uses events beyond their "reasonable control" as a blanket excuse to avoid liability for any failure to perform their core contractual obligations.</t>
  </si>
  <si>
    <t>### **1-Unilateral Termination:**</t>
  </si>
  <si>
    <t>**Definition**: In the context of a consumer service contract, **Unilateral Termination** refers to a contractual provision that grants the service provider the right to end the agreement or discontinue services to a user without the user's mutual consent. While such clauses are common, they become problematic when they allow the provider to sever the relationship arbitrarily, without sufficient justification, or without following a fair process.</t>
  </si>
  <si>
    <t>- **Absence of Prior Notice**: The clause allows the service provider to terminate the user's account or access "immediately" or "without notice," leaving the consumer with no time to mitigate losses or retrieve personal data.</t>
  </si>
  <si>
    <t>- **Unfettered and Sole Discretion**: The provider reserves the "sole discretion" to terminate the contract for "any reason" or "no reason at all," creating a significant power imbalance where the user has no contractual security.</t>
  </si>
  <si>
    <t>- **Vague or Subjective Grounds**: Termination is based on broad or ill-defined criteria, such as "misusing" the service, behaving "inappropriately," or violating the "spirit" of the agreement, which are all open to the provider's subjective interpretation.</t>
  </si>
  <si>
    <t>- **Lack of a Refund Mechanism**: The provider asserts the right to terminate the account without providing a refund for pre-paid services, active subscriptions, or digital purchases made by the user.</t>
  </si>
  <si>
    <t>- **No Opportunity to Remedy a Breach**: The clause permits permanent termination for a first-time or minor infraction without giving the user a chance to explain the situation or correct the behavior.</t>
  </si>
  <si>
    <t>- **Termination for Commercial Viability**: The provider reserves the right to stop providing the service simply because it is "no longer commercially viable," effectively allowing them to escape their obligations to existing customers for purely financial reasons.</t>
  </si>
  <si>
    <t>- **Arbitrary Inactivity Rules**: The clause allows for the termination of "dormant" accounts based on periods of inactivity that may not be clearly defined or communicated to the user in advance.</t>
  </si>
  <si>
    <t>- **Disproportionate Responses to Conduct**: The provider claims the right to terminate an account based on actions occurring "off the service" or for behavior toward employees that is subjectively deemed "offensive," without providing a transparent standard for such judgments.</t>
  </si>
  <si>
    <t xml:space="preserve">### **2-Unilateral Change:** </t>
  </si>
  <si>
    <t>**Definition**: In a consumer service contract, a **Unilateral Change** (also known as a unilateral modification) is a contractual provision that allows one party?typically the service provider?to change the terms of the agreement, the price, or the nature of the services offered without requiring the contemporaneous agreement or signature of the other party (the consumer). In these arrangements, the provider reserves the right to modify the "rules of the game" after the initial contract has already been formed.</t>
  </si>
  <si>
    <t>- **Shifting the Burden of Monitoring**: The clause places the responsibility on the consumer to "regularly check" a website or app for updates, rather than the provider taking the initiative to notify the consumer directly of changes.</t>
  </si>
  <si>
    <t>- **Absolute and Unfettered Discretion**: The provider reserves the right to make changes at its "sole discretion" or "as it sees fit," without any objective criteria or limitations on what can be changed.</t>
  </si>
  <si>
    <t>- **Lack of Specific Notice Periods**: Changes are often stated to take effect "from time to time" or "at any time," providing no minimum lead time for the consumer to adjust to the new terms before they become binding.</t>
  </si>
  <si>
    <t>- **Immediate Binding Effect**: The clause stipulates that mere continued use of the service after a change is posted constitutes acceptance, effectively forcing a "take-it-or-leave-it" scenario where the consumer's silence is treated as consent.</t>
  </si>
  <si>
    <t>- **No Right to Terminate without Penalty**: These clauses frequently fail to offer the consumer a clear path to cancel the contract without fees or penalties if they do not agree to the new, modified terms.</t>
  </si>
  <si>
    <t>- **Vulnerability of Paid Features**: The provider grants itself the power to "eliminate," "modify," or "regulate" virtual items or paid services at any time, potentially stripping the consumer of the value they have already paid for.</t>
  </si>
  <si>
    <t>- **Opaque Communication Methods**: The provider maintains the right to choose the method of notification "in its sole discretion," which may involve burying updates in obscure sections of a website rather than using direct electronic mail.</t>
  </si>
  <si>
    <t>### **3-Content Removal:**</t>
  </si>
  <si>
    <t>**Definition**: In the context of a consumer service contract, **Content Removal** refers to the contractual right reserved by a service provider to delete, block, disable access to, or modify any information, media, or data uploaded by a user. This encompasses a wide range of "user-generated content," including photos, comments, messages, reviews, account profiles, and virtual items. These clauses establish the conditions under which a provider may unilaterally intervene to restrict the visibility or existence of a consumer's digital contributions on their platform.</t>
  </si>
  <si>
    <t>- **The provider claims absolute and unfettered discretion**. Clauses are unfair when they allow the provider to remove content based on their "sole judgment," "absolute discretion," or "sole discretion," effectively removing any objective standard or requirement for proof of a violation.</t>
  </si>
  <si>
    <t>- **The grounds for removal are vague or subjective**. Unfairness arises when removal is permitted for content deemed "otherwise objectionable," "unacceptable," "inappropriate," or "harmful to the reputation of the service," as these terms are not clearly defined and are open to arbitrary interpretation.</t>
  </si>
  <si>
    <t>- **Removal can occur without prior notice**. Clauses that permit the deletion or blocking of content "without notice" or "without prior notice" are unfair because they deprive the consumer of the chance to rectify an issue or save a copy of their data before it is lost.</t>
  </si>
  <si>
    <t>- **The provider is not required to provide a reason**. It is considered unfair when a contract states that content may be removed for "any reason" or "no reason at all," creating a significant imbalance where the consumer has no way to understand or challenge the action.</t>
  </si>
  <si>
    <t>- **The provider disclaims all responsibility for data loss**. Clauses are unfair if they state the provider has "no obligation to store or retain" user content and place the entire burden of data backup on the consumer, often while simultaneously making that data inaccessible.</t>
  </si>
  <si>
    <t>- **The right to modify content is overly broad**. An unfair clause grants the provider the power not just to remove, but to "edit," "modify," or "adjust" user-generated content (such as reviews or messages) at will, which can fundamentally change the meaning of the consumer's original contribution.</t>
  </si>
  <si>
    <t>- **User identifiers can be reclaimed arbitrarily**. Clauses that allow a provider to "reclaim" or "remove" a username or identifier at any time for any reason are unfair, as they ignore the personal or commercial value a user may have built around that identity.</t>
  </si>
  <si>
    <t>- **Access is terminated immediately upon account suspension**. It is unfair for a clause to dictate that all user content and files will be permanently deleted or made inaccessible immediately upon account termination without providing a grace period for data retrieval.</t>
  </si>
  <si>
    <t>### **4-Contract by Using:**</t>
  </si>
  <si>
    <t>**Definition**: In the context of consumer service contracts, a **Contract by Using** (often referred to as a "browse-wrap" agreement) is a legal arrangement where a consumer is deemed to have accepted the terms and conditions of a service simply by performing an action, such as accessing a website, downloading an app, or continuing to use a service after an update. Unlike "click-wrap" agreements, which require a user to check a box or click an "I Agree" button, a contract by using relies on inferred consent through behavior.</t>
  </si>
  <si>
    <t>- **Substitution of Passive Action for Explicit Consent**: The clause deems the mere act of accessing, browsing, or downloading a service as a legally binding agreement, bypassing the need for a clear and affirmative expression of the consumer's intent to be bound.</t>
  </si>
  <si>
    <t>- **Unilateral and Automatic Acceptance of Amendments**: The clause dictates that any future modifications to the terms are automatically accepted by the consumer through their continued use of the service, often without requiring the provider to proactively notify the user of the specific changes.</t>
  </si>
  <si>
    <t>- **Presumptive Understanding of Complex Terms**: The clause asserts that the consumer has read and understood all terms, privacy policies, and external guidelines simply by using the platform, regardless of the complexity or length of those documents.</t>
  </si>
  <si>
    <t>- **Binding to Undisclosed or Third-Party Terms**: The clause may force the consumer to agree to the terms and privacy policies of third-party providers integrated into the service without providing a distinct opportunity to review or accept those separate agreements.</t>
  </si>
  <si>
    <t>- **Incorporation of High-Stakes Legal Waivers via Usage**: The clause binds the consumer to significant legal conditions, such as mandatory arbitration or data transfer consents, through routine usage rather than through a dedicated and prominent acceptance process.</t>
  </si>
  <si>
    <t>- **Bypassing Consumer Withdrawal Rights**: The clause may state that the provision of services or digital items commences immediately upon use or purchase, which can unfairly restrict the consumer's ability to exercise a "cooling-off" period or a right to withdraw from the contract.</t>
  </si>
  <si>
    <t>### **5-Choice of Law:**</t>
  </si>
  <si>
    <t>**Definition**: In the context of a consumer service contract, a **Choice of Law** clause is a provision where the service provider specifies which countryfs or state's laws will be used to interpret the agreement and resolve any legal disputes. Because these contracts are usually "contracts of adhesion" (non-negotiable terms drafted by the provider), the choice of law is typically dictated by the company rather than being a mutual agreement. It determines which jurisdiction's consumer protection statutes apply, affecting the consumer's ability to seek remedies or assert their legal rights.</t>
  </si>
  <si>
    <t>- **Explicit Exclusion of Conflict of Law Principles**: Almost all unfair clauses include phrases like "without regard to its conflict of law principles" or "excluding its choice of law rules." This is unfair because conflict of law rules are the very legal mechanisms that would normally allow a consumer's local, more protective laws to take precedence over the company's chosen law.</t>
  </si>
  <si>
    <t>- **Imposition of a Foreign Jurisdiction on Global Users**: These clauses often mandate that a single jurisdiction's law (e.g., California, Texas, or Finland) applies to all users worldwide. This is unfair as it forces consumers to adhere to a legal system that is foreign to them and may offer significantly fewer protections than the laws of their home country.</t>
  </si>
  <si>
    <t>- **Waiver of Mandatory International Protections**: Some clauses specifically exclude international treaties, such as the United Nations Convention on Contracts for the International Sale of Goods, which are designed to provide a baseline of fairness in cross-border transactions.</t>
  </si>
  <si>
    <t>- **Creation of Legal Complexity and Confusion**: Unfair clauses often mix different legal standards (e.g., applying the Federal Arbitration Act for one part of the contract and the laws of a specific state for another). This creates a "legal maze" that makes it nearly impossible for an average consumer to understand which rights they have and how to enforce them.</t>
  </si>
  <si>
    <t>- **Deprivation of Local Mandatory Consumer Rights**: By designating a specific law as "exclusive," these clauses attempt to bypass mandatory local consumer protection statutes (such as cooling-off periods or specific warranty rights) that are legally required in the consumer's place of residence.</t>
  </si>
  <si>
    <t>- **Lack of Proximity and Accessibility**: Forcing a consumer to resolve a dispute based on the laws of a distant jurisdiction (like a European user being governed by the laws of Delaware or Israel) creates a massive barrier to justice, as the consumer would likely need to hire specialized foreign counsel to interpret their rights.</t>
  </si>
  <si>
    <t>### **6-Jurisdiction:**</t>
  </si>
  <si>
    <t>**Definition**: In the context of a consumer service contract, **Jurisdiction** refers to the legal authority of a specific court or judicial system to hear and decide a legal dispute between the service provider and the consumer. It establishes the "legal home" for any potential litigation, determining which geographical location (venue) and which court system have the power to issue binding judgments.</t>
  </si>
  <si>
    <t>- **Mandatory litigation in a distant or foreign forum**: The clause forces consumers to resolve disputes in a specific location that is often thousands of miles away or in a different country (e.g., forcing a global user to litigate exclusively in "Santa Clara County, California" or "England and Wales"), creating a physical and financial barrier to justice.</t>
  </si>
  <si>
    <t>- **Imposition of "Exclusive" jurisdiction**: The use of restrictive language such as "exclusively," "must be brought," or "only in" prevents the consumer from seeking redress in their own local or national courts, even if the service was provided in their home region.</t>
  </si>
  <si>
    <t>- **Forced waiver of procedural objections**: The clause requires consumers to "waive any and all objections" to the venue or the "inconvenience of the forum," effectively stripping them of the legal right to argue that a court is too far away or inappropriate for the case.</t>
  </si>
  <si>
    <t>- **Irrevocable and pre-emptive consent**: Consumers are required to "irrevocably agree" or "consent" to a specific jurisdiction at the time of signing the contract, long before a dispute exists, leaving them no room to negotiate a more reasonable location later.</t>
  </si>
  <si>
    <t>- **Asymmetrical rights (Lack of Mutuality)**: The clause may restrict the consumer to a single specific court while explicitly allowing the company the freedom to seek legal remedies (such as injunctions) in "any jurisdiction" it chooses.</t>
  </si>
  <si>
    <t>- **Complex conditional barriers**: The jurisdiction clause often acts as a secondary trap, stating that if a primary (and often equally unfair) arbitration agreement is found unenforceable, the consumer is still forced into the companyfs preferred distant court.</t>
  </si>
  <si>
    <t>- **Submission to foreign legal standards**: By forcing jurisdiction in a specific region, the clause often implicitly subjects the consumer to foreign laws (e.g., "the laws of England and Wales shall govern"), which may offer fewer protections than the consumer's local consumer rights legislation.</t>
  </si>
  <si>
    <t>### **7-Arbitration:**</t>
  </si>
  <si>
    <t>**Definition**: In the context of a consumer service contract (such as a Terms of Service or EULA), **Arbitration** is a private dispute resolution mechanism where a neutral third party, called an arbitrator, is appointed to hear a case and make a final, binding decision. Unlike a public court proceeding, arbitration takes place outside the judicial system. By agreeing to an arbitration clause, a consumer typically gives up their right to sue the company in a court of law and forfeits the right to have their case decided by a judge or jury.</t>
  </si>
  <si>
    <t>- **The clause mandates a class action waiver**, which prevents consumers from joining together to challenge widespread corporate misconduct and forces them to pursue small claims individually at a high personal cost.</t>
  </si>
  <si>
    <t>- **The clause establishes arbitration as the "exclusive means" of resolution**, effectively stripping the consumer of their constitutional right to a trial by jury or access to a public judge.</t>
  </si>
  <si>
    <t>- **The clause includes an "inconvenient forum" provision**, requiring the consumer to travel to a distant or international location (such as a different state or even a different country like Finland) to resolve their dispute.</t>
  </si>
  <si>
    <t>- **The clause creates a "unilateral carve-out" for the company**, where the service provider retains the right to go to court for issues like intellectual property protection while forcing all consumer-initiated complaints into private arbitration.</t>
  </si>
  <si>
    <t>- **The clause emphasizes that the decision is "final and binding,"** which severely limits or completely eliminates the consumer's ability to appeal a potentially incorrect or biased decision.</t>
  </si>
  <si>
    <t>- **The clause forces the consumer to adhere to complex or expensive procedural rules** from specialized international arbitration bodies that are often too costly or intimidating for an individual consumer to navigate.</t>
  </si>
  <si>
    <t>- **The clause specifically excludes "class relief,"** ensuring that even if an arbitrator finds the company at fault, the remedy cannot be applied to other consumers who suffered the same harm.</t>
  </si>
  <si>
    <t>### **8-Fair:**</t>
  </si>
  <si>
    <t>**Definition**: This category is a catch-all for any clause that is balanced, transparent, and does not meet the criteria for any of the unfair categories (0?7). Use this label only if no unfair elements are present.</t>
  </si>
  <si>
    <t>## OUTPUT INSTRUCTIONS</t>
  </si>
  <si>
    <t>- No conversational filler or markdown formatting outside the JSON.</t>
  </si>
  <si>
    <t>- Field "label": Respond ONLY with the exact number(s) in brackets, (e.g., [8] for fair, or [1, 6] if multiple unfair categories apply).</t>
  </si>
  <si>
    <t>- Field "legal_rationale": A single, concise sentence explaining the legal reasoning for the classification (e.g., citing the specific imbalance for 0-7, or the presence of balanced protections for 8).</t>
  </si>
  <si>
    <t>- Example: `{"label": "[2]", "legal_rationale": "The clause allows for price increases without providing a valid reason or the right to terminate."}`</t>
  </si>
  <si>
    <t>- Return ONLY valid JSON.</t>
  </si>
  <si>
    <t>## LEGAL CATEGORIES &amp; CRITERIA</t>
  </si>
  <si>
    <t>### **0-Limitation of Liability:** Covers clauses excluding or restricting a seller's legal liability for non-performance or injury, which is unfair when it creates a significant imbalance by stripping consumers of compensation rights for death or gross negligence, but remains fair if it is transparent, proportional, and explicitly protects mandatory statutory rights. Do not assign [0] for warranty language (for example, "as is" or "no warranty") or third-party resource disclaimers unless the clause also expressly excludes or caps the provider's liability for user damages, losses, or compensation.</t>
  </si>
  <si>
    <t>### **1-Unilateral Termination:** Involves terms allowing a seller to dissolve the contract at will, which is considered unfair when it lacks reasonable notice or reciprocal rights for the consumer, but can be fair if the contract specifies objective grounds for termination and provides a sufficient notice period. Clauses that let the provider terminate or restrict access unilaterally are generally [1], even when tied to alleged misuse or policy violations, unless balanced safeguards are explicit.</t>
  </si>
  <si>
    <t>### **2-Unilateral Change:** Identifies provisions enabling the seller to alter contract terms or prices without consent, which is unfair if it lacks a valid, pre-specified reason, but is considered fair if the seller provides advance notice, a valid justification, and the right for the consumer to terminate the contract immediately without penalty. Notice alone does not automatically make a unilateral-change clause [8] in this dataset.</t>
  </si>
  <si>
    <t>### **3-Content Removal:** Identifies clauses that grant the provider the right to delete, hide, or restrict access to content uploaded by the user.  Such terms are classified as unfair when they allow for arbitrary removal without a specified valid reason or notice, as this creates a significant imbalance in the rights of the parties. To be considered fair, the term must be transparent and specify objective grounds for removal, ensuring the consumer is provided with a clear legal rationale for the provider's actions and accompanied by a notification and appeal process.</t>
  </si>
  <si>
    <t>### **4-Contract by Using:** Identifies 'browse-wrap' provisions where the mere use is deemed acceptance of terms, which is unfair under Directive 93/13/EEC as it creates a significant imbalance by binding consumers without informed consent or a genuine opportunity to review the obligations, but it becomes fair when acceptance is conditioned on a clear, affirmative action—like a 'click-wrap' agreement—performed after the consumer has been presented with the terms in a transparent manner. If a clause gives a clear right to reject changes by stopping use or terminating without penalty, prefer [8] over [4].</t>
  </si>
  <si>
    <t>### **5-Choice of Law:** Designates the legal system governing the contract, which is unfair if it selects a foreign law to deprive consumers of the mandatory protections of their home country, but is fair if it explicitly preserves the consumer's right to their local mandatory legal safeguards.</t>
  </si>
  <si>
    <t>### **6-Jurisdiction:** Specifies the court location for disputes, which is unfair if it forces consumers to litigate in a distant or inconvenient forum thereby hindering access to justice, but is fair if it allows the consumer to bring legal proceedings in the courts of their own domicile.</t>
  </si>
  <si>
    <t>### **7-Arbitration:** Requires disputes to be settled via private arbitration, which is unfair if it is mandatory and binding—thereby hindering the consumer's right to legal action in court—but is fair if it is an optional, low-cost, and non-binding alternative that does not preclude judicial remedies. If users can opt out or arbitration is not mandatory, prefer [8] over [7]. Also, arbitration procedural details alone (administrator, rules, venue mechanics, fee allocation, or FAA-governance wording) are [8] unless the clause imposes mandatory binding arbitration as the dispute forum.</t>
  </si>
  <si>
    <t>### **8-Fair:** This category is a catch-all for any clause that is balanced, transparent, and does not meet the criteria for any of the unfair categories (0–7). Use this label only if no unfair elements are present.</t>
  </si>
  <si>
    <t>------------------------------------------------------------------------------------------</t>
  </si>
  <si>
    <t>Analyze the provided Terms of Service (TOS) clause to determine if it maintains a fair equilibrium or is unfair:</t>
  </si>
  <si>
    <r>
      <t>### **1-Unilateral Termination:**</t>
    </r>
    <r>
      <rPr>
        <sz val="11"/>
        <color rgb="FFFF0000"/>
        <rFont val="Calibri"/>
        <family val="2"/>
      </rPr>
      <t xml:space="preserve"> Involves terms allowing a seller to dissolve the contract at will</t>
    </r>
    <r>
      <rPr>
        <sz val="11"/>
        <color theme="1"/>
        <rFont val="Calibri"/>
        <family val="2"/>
        <scheme val="minor"/>
      </rPr>
      <t>, which is considered unfair when it lacks reasonable notice or reciprocal rights for the consumer, but can be fair if the contract specifies objective grounds for termination and provides a sufficient notice period. Clauses that let the provider terminate or restrict access unilaterally are generally [1], even when tied to alleged misuse or policy violations, unless balanced safeguards are explicit.</t>
    </r>
  </si>
  <si>
    <t>You are a legal expert specializing in European Consumer Law, with a focus on Directive (EU) 2019/2161 . Your primary objective is to evaluate whether Terms of Service (TOS) clauses create a "significant imbalance" between the rights of the service provider (provider) and the obligations of the consumer.</t>
  </si>
  <si>
    <t xml:space="preserve">- If the clause is unfair, label ALL applicable categories of unfairness from **[0-7]**. </t>
  </si>
  <si>
    <t>### **0. Limitation of Liability**
    Unfair: Excludes or restricts provider liability for non-performance, personal injury, or gross negligence.
    Fair: Clauses that are transparent, proportional, and explicitly protect the consumer's mandatory statutory rights.</t>
  </si>
  <si>
    <t>### **1. Unilateral Termination**
    Definition: Terms allowing the provider to dissolve the contract at will.
    Unfair: Allowing the provider to dissolve the contract "at will" or without reasonable notice or reciprocal rights for the consumer.
    Fair: Specifying objective grounds for termination and providing a sufficient notice period for the consumer to react.</t>
  </si>
  <si>
    <t>### **2. Unilateral Change**
    Unfair: Altering terms or prices without a valid, pre-specified reason or the consumer's consent.
    Fair: Providing advance notice, valid justification, and the right for the consumer to terminate the contract immediately without penalty.</t>
  </si>
  <si>
    <t>### **3. Content Removal**
    Unfair: Granting the provider arbitrary rights to delete or hide user content without a clear reason or notice.
    Fair: Specifying objective grounds for removal and offering a transparent notification and appeal process.</t>
  </si>
  <si>
    <t>### **4. Contract by Using**
    Unfair: "Browse-wrap" agreements where mere use is deemed acceptance, binding consumers without informed consent.
    Fair: "Click-wrap" agreements where acceptance is an affirmative action taken after terms are clearly presented.</t>
  </si>
  <si>
    <t>### **5. Choice of Law**
    Unfair: Selecting a foreign legal system specifically to deprive consumers of their home country’s mandatory protections.
    Fair: Explicitly preserving the consumer’s right to rely on their local mandatory legal safeguards.</t>
  </si>
  <si>
    <t>### **6. Jurisdiction**
    Unfair: Forcing consumers to litigate in a distant or inconvenient forum, effectively hindering their access to justice.
    Fair: Allowing the consumer to bring legal proceedings in the courts of their own domicile.</t>
  </si>
  <si>
    <t>### **7. Arbitration**
    Unfair: Imposing mandatory, binding arbitration that prevents the consumer from seeking remedies in a court of law.
    Fair: Offering arbitration as an optional, low-cost, and non-binding alternative.</t>
  </si>
  <si>
    <r>
      <t xml:space="preserve">- If the clause is  fair, </t>
    </r>
    <r>
      <rPr>
        <sz val="11"/>
        <color rgb="FFFF0000"/>
        <rFont val="Calibri"/>
        <family val="2"/>
      </rPr>
      <t>balanced and preserves the consumer's legal standing</t>
    </r>
    <r>
      <rPr>
        <sz val="11"/>
        <rFont val="Calibri"/>
        <family val="2"/>
      </rPr>
      <t xml:space="preserve"> and contains no categories of unfairness 0-7,</t>
    </r>
    <r>
      <rPr>
        <sz val="11"/>
        <color rgb="FFFF0000"/>
        <rFont val="Calibri"/>
        <family val="2"/>
      </rPr>
      <t xml:space="preserve"> </t>
    </r>
    <r>
      <rPr>
        <sz val="11"/>
        <color theme="1"/>
        <rFont val="Calibri"/>
        <family val="2"/>
        <scheme val="minor"/>
      </rPr>
      <t>label it **[8]**.</t>
    </r>
  </si>
  <si>
    <t>## FAIRNESS VS. UNFAIRNESS CRITERIA
The following is a list of categories with the detail of what is considered Unfair and Fair.</t>
  </si>
  <si>
    <t>You are a legal expert specializing in European Consumer Law, specifically Directive (EU) 93/13/ECC . Your task is to analyze Terms of Service (TOS) clauses for "significant imbalances" between the rights and obligations of the parties.</t>
  </si>
  <si>
    <t>ZS3</t>
  </si>
  <si>
    <t>ZS5</t>
  </si>
  <si>
    <t>ZS4</t>
  </si>
  <si>
    <t>ZS6</t>
  </si>
  <si>
    <t>ZS2</t>
  </si>
  <si>
    <t>### **0-Limitation of Liability:** Covers clauses excluding or restricting a seller's legal liability for non-performance or injury, which is unfair when it creates a significant imbalance by stripping consumers of compensation rights for death or gross negligence, but remains fair if it is transparent, proportional, and explicitly protects mandatory statutory rights.</t>
  </si>
  <si>
    <t>### **1-Unilateral Termination:** Involves terms allowing a seller to dissolve the contract at will, which is considered unfair when it lacks reasonable notice or reciprocal rights for the consumer, but can be fair if the contract specifies objective grounds for termination and provides a sufficient notice period.</t>
  </si>
  <si>
    <t xml:space="preserve">### **2-Unilateral Change:** Identifies provisions enabling the seller to alter contract terms or prices without consent, which is unfair if it lacks a valid, pre-specified reason, but is considered fair if the seller provides advance notice, a valid justification, and the right for the consumer to terminate the contract immediately without penalty.  </t>
  </si>
  <si>
    <t>### **4-Contract by Using:** Identifies 'browse-wrap' provisions where the mere use is deemed acceptance of terms, which is unfair under Directive 93/13/EEC as it creates a significant imbalance by binding consumers without informed consent or a genuine opportunity to review the obligations, but it becomes fair when acceptance is conditioned on a clear, affirmative action—like a 'click-wrap' agreement—performed after the consumer has been presented with the terms in a transparent manner.</t>
  </si>
  <si>
    <t>### **7-Arbitration:** Requires disputes to be settled via private arbitration, which is unfair if it is mandatory and binding—thereby hindering the consumer's right to legal action in court—but is fair if it is an optional, low-cost, and non-binding alternative that does not preclude judicial remedies.</t>
  </si>
  <si>
    <t># ROLE</t>
  </si>
  <si>
    <t>## EXAMPLES</t>
  </si>
  <si>
    <t>Input: "tinder shall have no liability to you or any third party in the event that tinder exercises any such rights ."</t>
  </si>
  <si>
    <t>Output: {"label": "[0]"}</t>
  </si>
  <si>
    <t>Input: "tinder may terminate your account at any time without notice if it believes that you have violated this agreement ."</t>
  </si>
  <si>
    <t>Output: {"label": "[1]"}</t>
  </si>
  <si>
    <t>Input: "the company may investigate and take any available legal action in response to illegal and / or unauthorized uses of the service , including termination of your account ."</t>
  </si>
  <si>
    <t>Input: "we may make changes to this agreement and to the services from time to time ."</t>
  </si>
  <si>
    <t>Output: {"label": "[2]"}</t>
  </si>
  <si>
    <t>Input: "we may delete any content , in whole or in part , that in our sole judgment violates this agreement or may harm the reputation of the service ."</t>
  </si>
  <si>
    <t>Output: {"label": "[3]"}</t>
  </si>
  <si>
    <t>Input: "if you continue to use the services after the changes become effective , then you agree to the revised agreement ."</t>
  </si>
  <si>
    <t>Output: {"label": "[4]"}</t>
  </si>
  <si>
    <t>Input: "by creating a tinder account or by using the tinder imessage app ( `` tinder stacks '' ) , whether through a mobile device , mobile application or computer ( collectively , the `` service '' ) you agree to be bound by ( i ) these terms of use , ( ii ) our privacy policy and safety tips , each of which is incorporated by reference into this agreement , and ( iii ) any terms disclosed and agreed to by you if you purchase additional features , products or services we offer on the service ( collectively , this `` agreement '' ) ."</t>
  </si>
  <si>
    <t>Input: "this policy and consent forms part of our website terms of use and as such it shall be governed by and construed in accordance with the laws of england and wales ."</t>
  </si>
  <si>
    <t>Output: {"label": "[5]"}</t>
  </si>
  <si>
    <t>Input: "you and youtube agree to submit to the exclusive jurisdiction of the courts of england to resolve any legal matter arising from the terms ."</t>
  </si>
  <si>
    <t>Output: {"label": "[6]"}</t>
  </si>
  <si>
    <t>Input: "the exclusive means of resolving any dispute or claim arising out of or relating to this agreement ( including any alleged breach thereof ) or the service shall be binding arbitration administered by the american arbitration association under the consumer arbitration rules ."</t>
  </si>
  <si>
    <t>Output: {"label": "[7]"}</t>
  </si>
  <si>
    <t>Input: "we may alter , suspend or discontinue any aspect of the service at any time , including the availability of any service feature , database or content ."</t>
  </si>
  <si>
    <t>Output: {"label": "[1, 2]"}</t>
  </si>
  <si>
    <t>Input: "to the extent permitted by law , these terms and conditions and the provision of our services shall be governed by and construed in accordance with dutch law and any dispute arising out of these general terms and conditions and our services shall exclusively be submitted to the competent courts in amsterdam , the netherlands ."</t>
  </si>
  <si>
    <t>Output: {"label": "[5, 6]"}</t>
  </si>
  <si>
    <t>Input: "if you and a disputed party do not resolve any dispute by informal negotiation or in small claims court , any other effort to resolve the dispute will be conducted exclusively by binding arbitration governed by the united states federal arbitration act ( `` faa '' ) ."</t>
  </si>
  <si>
    <t>Input: "generally , we do not moderate any interactive service we provide although we may remove content in contravention of these terms of use as set out in section 6 ."</t>
  </si>
  <si>
    <t>Input: "unless we make a change for legal or administrative reasons , we will provide reasonable advance notice before the updated terms become effective ."</t>
  </si>
  <si>
    <t>Output: {"label": "[8]"}</t>
  </si>
  <si>
    <t>Input: "if you do not agree to any modifications , you should terminate your use of the service ."</t>
  </si>
  <si>
    <t>Input: "if you do not agree to the modified terms for a service , you should discontinue your use of that service ."</t>
  </si>
  <si>
    <t>Input: "if you do n't agree to the new terms , you must stop using the services , close your microsoft account and/or skype account and , if you are a parent or guardian , help your minor child close his or her microsoft account or skype account ."</t>
  </si>
  <si>
    <t>Input: "if you do not wish to accept these changes , you are entitled to terminate your subscription , with effect from the date on which the changes are due to take effect ."</t>
  </si>
  <si>
    <t>Input: "you understand and agree that youtube will treat your use of the service as acceptance of the terms from that point onwards ."</t>
  </si>
  <si>
    <t>Input: "either you or we may start arbitration proceedings ."</t>
  </si>
  <si>
    <t>Input: "if you do so , neither we nor you can require the other party to participate in an arbitration proceeding ."</t>
  </si>
  <si>
    <t>Input: "for the avoidance of doubt , the choice of texas governing law shall not supersede any mandatory consumer protection legislation in such jurisdictions ."</t>
  </si>
  <si>
    <t>Input: "price changes for paid subscriptions will take effect at the start of the next subscription period following the date of the price change ."</t>
  </si>
  <si>
    <t>Input: "no arbitration or proceeding will be combined with another without the prior written consent of all parties to all affected arbitrations or proceedings ."</t>
  </si>
  <si>
    <t>ZS1</t>
  </si>
  <si>
    <t>### **1-Unilateral Termination**
    Definition: Terms allowing the provider to dissolve the contract at will.
    Unfair: Termination with no notice or insufficient notice or where reciprocal rights are not provided for the consumer, even if the user has violated the agreement.
    Fair: Specifying objective grounds for termination and providing a sufficient notice period.</t>
  </si>
  <si>
    <t>### **2-Unilateral Change**
    Unfair: Altering terms or prices without a valid, pre-specified reason or the consumer's consent.
    Fair: Providing advance notice, valid justification, and the right for the consumer to terminate the contract immediately without penalty.</t>
  </si>
  <si>
    <t>### **3-Content Removal**
    Unfair: Granting the provider arbitrary rights to delete or hide user content without a clear reason or notice.
    Fair: Specifying objective grounds for removal and offering a transparent notification and appeal process.</t>
  </si>
  <si>
    <t>### **4-Contract by Using**
    Unfair: "Browse-wrap" agreements where mere use is deemed acceptance, binding consumers without informed consent.
    Fair: "Click-wrap" agreements where acceptance is an affirmative action taken after terms are clearly presented.</t>
  </si>
  <si>
    <t>### **5-Choice of Law**
    Unfair: Selecting a foreign legal system specifically to deprive consumers of their home country’s mandatory protections.
    Fair: Explicitly preserving the consumer’s right to rely on their local mandatory legal safeguards.</t>
  </si>
  <si>
    <t>### **6-Jurisdiction**
    Unfair: Forcing consumers to litigate in a distant or inconvenient forum, effectively hindering their access to justice.
    Fair: Allowing the consumer to bring legal proceedings in the courts of their own domicile.</t>
  </si>
  <si>
    <t>### **7-Arbitration**
    Unfair: Imposing mandatory, binding arbitration that prevents the consumer from seeking remedies in a court of law.
    Fair: Offering arbitration as an optional, low-cost, and non-binding alternative.</t>
  </si>
  <si>
    <t xml:space="preserve">- If the clause is fair,  label it **[8]**. </t>
  </si>
  <si>
    <t>### **0-Limitation of Liability**
- Definition: Provider liability to user is limited
- Unfair: Excludes or restricts provider liability for non-performance, personal injury, death, or gross negligence  when it creates a significant imbalance by stripping consumers of compensation rights.
- Fair: Clauses that are transparent, proportional, and explicitly protect the consumer's mandatory statutory rights.
- Note: Do not assign [0] for warranty language (for example, "as is" or "no warranty") or third-party resource disclaimers unless the clause also expressly excludes or caps the provider's liability for user damages, losses, or compensation.</t>
  </si>
  <si>
    <t>ZS7</t>
  </si>
  <si>
    <t xml:space="preserve">- If the clause is balanced, fair and legally sound, label it **[8]**. </t>
  </si>
  <si>
    <t>### **0.Limitation of Liability**
- Definition: Provider liability to user is limited
- Unfair: Excludes or restricts provider liability for non-performance, personal injury, death, or gross negligence  when it creates a significant imbalance by stripping consumers of compensation rights.
- Fair: Clauses that are transparent, proportional, and explicitly protect the consumer's mandatory statutory rights.
- Note: Do not assign [0] for warranty language (for example, "as is" or "no warranty") or third-party resource disclaimers unless the clause also expressly excludes or caps the provider's liability for user damages, losses, or compensation.</t>
  </si>
  <si>
    <t>### **1.Unilateral Termination**
    Definition: Terms allowing the provider to dissolve the contract at will.
    Unfair: Termination with no notice or insufficient notice or where reciprocal rights are not provided for the consumer, even if the user has violated the agreement.
    Fair: Specifying objective grounds for termination and providing a sufficient notice period.</t>
  </si>
  <si>
    <t>### **2.Unilateral Change**
    Unfair: Altering terms or prices without a valid, pre-specified reason or the consumer's consent.
    Fair: Providing advance notice, valid justification, and the right for the consumer to terminate the contract immediately without penalty.</t>
  </si>
  <si>
    <t>### **3.Content Removal**
    Unfair: Granting the provider arbitrary rights to delete or hide user content without a clear reason or notice.
    Fair: Specifying objective grounds for removal and offering a transparent notification and appeal process.</t>
  </si>
  <si>
    <t>### **8.Fair:** This category is a catch-all for any clause that is balanced, transparent, and does not meet the criteria for any of the unfair categories (0–7). Use this label only if no unfair elements are present.</t>
  </si>
  <si>
    <t>ZS6-Full-5.4n-15.04.26</t>
  </si>
  <si>
    <t>ZS5-Full-5.4n-15.04.26</t>
  </si>
  <si>
    <t>ZS4-Full-5.4n-14.04.26</t>
  </si>
  <si>
    <t>ZS3-Full-5.4n-14.04.26</t>
  </si>
  <si>
    <t>ZS2-Full-4.1m-07.04.26</t>
  </si>
  <si>
    <t>ZS1-Full-4.1m-21.03.26</t>
  </si>
  <si>
    <t>FS1-Full-4.1m-07.04.26</t>
  </si>
  <si>
    <t>FS2-Full-4.1m-08.04.26</t>
  </si>
  <si>
    <t>FS3-Full-4.1m-08.04.26</t>
  </si>
  <si>
    <t>F1 (Macro)</t>
  </si>
  <si>
    <t>this test is the same as ZS3 but with 4.1m instead of 5.4n</t>
  </si>
  <si>
    <t>ZS7-Full-5.4n-15.04.26</t>
  </si>
  <si>
    <t>ZS3-Full-4.1m-15.04.26</t>
  </si>
  <si>
    <t>FS1 (ZS1)</t>
  </si>
  <si>
    <t>FS3 (ZS1)</t>
  </si>
  <si>
    <t>FS4 (ZS3)</t>
  </si>
  <si>
    <t>FS5-Full-gemini-3-flash-preview</t>
  </si>
  <si>
    <t>FS4-Full-5.4n-10.04.26</t>
  </si>
  <si>
    <t>FS6-Full-Gemini3.1-pro-25.04.26</t>
  </si>
  <si>
    <t>GPT</t>
  </si>
  <si>
    <t>Gemin</t>
  </si>
  <si>
    <t>Overall</t>
  </si>
  <si>
    <t>Overall Methodology Comparison (Grouped Bar Chart or Summary Table)</t>
  </si>
  <si>
    <t>Handling Class Imbalance (Confusion Matrices or Stacked Bar Charts)</t>
  </si>
  <si>
    <t>Not sure how to</t>
  </si>
  <si>
    <t>Performance Across Specific Unfair Categories (Radar Chart or Detailed Heatmap)</t>
  </si>
  <si>
    <t>Check Main Sheet</t>
  </si>
  <si>
    <t>The Progression of Prompt Engineering (Line Graph)</t>
  </si>
  <si>
    <t>Name</t>
  </si>
  <si>
    <t>Tab Name</t>
  </si>
  <si>
    <t>Fine Tunned GPT 4.1m</t>
  </si>
  <si>
    <t>ZS8-Full-Gemini2.5-flash-27.05.</t>
  </si>
  <si>
    <t>ZS9-Full-Gemini3.1-pro-27.05.26</t>
  </si>
  <si>
    <t>GPT4.1m-fine-tunned</t>
  </si>
  <si>
    <t>Gemini-2.5-flash-fine-tunned</t>
  </si>
  <si>
    <t>Fine Tunned Gemini-2.5-flash</t>
  </si>
  <si>
    <t>V1 Zero Shot 4.1m</t>
  </si>
  <si>
    <t>V3 Zero Shot 5.4n</t>
  </si>
  <si>
    <t>V2 Zero Shot 4.1m</t>
  </si>
  <si>
    <t>V4 Zero Shot 5.4n</t>
  </si>
  <si>
    <t>V5 Zero Shot 5.4n</t>
  </si>
  <si>
    <t>V6 Zero Shot 5.4n</t>
  </si>
  <si>
    <t>V7 Zero Shot 5.4n</t>
  </si>
  <si>
    <t>V3 Zero Shot 4.1m</t>
  </si>
  <si>
    <t>V8 Zero Shot Gemini 2.5 Flash</t>
  </si>
  <si>
    <t>V9 Zero Shot Gemini 3.1 Pro</t>
  </si>
  <si>
    <t>V1 Few Shot 4.1m</t>
  </si>
  <si>
    <t>V2 Few Shot 4.1m</t>
  </si>
  <si>
    <t>V3 Few Shot 4.1m</t>
  </si>
  <si>
    <t>V4 Few Shot 5.4n</t>
  </si>
  <si>
    <t>V5 Few Shot Gemini-3-flash-preview</t>
  </si>
  <si>
    <t>V6 Few Shot Gemini 3.1 Pro</t>
  </si>
  <si>
    <t>FS7-Full-4.1m-19.05.26</t>
  </si>
  <si>
    <t>FS8-Full-Gemini-2.5-flash-27.05</t>
  </si>
  <si>
    <t>V7 Few Shot 4.1m</t>
  </si>
  <si>
    <t>V8 Few Shot Gemini 2.5 Flash</t>
  </si>
  <si>
    <t>V3 Zero Shot GPT 4.1m</t>
  </si>
  <si>
    <t>V3 Few Shot GPT 4.1m</t>
  </si>
  <si>
    <t>Gemini 2.5 Flash</t>
  </si>
  <si>
    <t>Gemini 3.1 Pro</t>
  </si>
  <si>
    <t>Fined Tuned</t>
  </si>
  <si>
    <t>N/A</t>
  </si>
  <si>
    <t>SOTA</t>
  </si>
  <si>
    <t>Legal BERT</t>
  </si>
  <si>
    <t>Few Shot Prompting</t>
  </si>
  <si>
    <t>Zero Shot Prompting</t>
  </si>
  <si>
    <t>V11 Zero Shot Gemini 2.5 Flash</t>
  </si>
  <si>
    <t>V12 Zero Shot GPT 4.1m</t>
  </si>
  <si>
    <t>V13 Zero Shot Gemini 3.1 Pro</t>
  </si>
  <si>
    <t>ZS11-Full-Gemini-2.5-flash-27.0</t>
  </si>
  <si>
    <t>ZS12-Full-4.1m-27.05.26</t>
  </si>
  <si>
    <t>ZS13-Full-Gemini-3.1-Pro-27.05.</t>
  </si>
  <si>
    <t>V11 Zero Shot LLM Fairness Gemini 2.5 Flash</t>
  </si>
  <si>
    <t>V12 Zero Shot LLM Fairness GPT 4.1m</t>
  </si>
  <si>
    <t>V13 Zero Shot LLM Fairness Gemini 3.1 Pro</t>
  </si>
  <si>
    <t>Zero Shot LLM Fairness</t>
  </si>
  <si>
    <t>Zero Shot 4.1m</t>
  </si>
  <si>
    <t>Few Shot Gemini 3.1 Pro</t>
  </si>
  <si>
    <t>Limitation of Liability</t>
  </si>
  <si>
    <t>Unilateral Termination</t>
  </si>
  <si>
    <t>Unilateral Change</t>
  </si>
  <si>
    <t>Content Removal</t>
  </si>
  <si>
    <t>Contract by Using</t>
  </si>
  <si>
    <t>Choice of Law</t>
  </si>
  <si>
    <t>Jurisdiction</t>
  </si>
  <si>
    <t>Arbitration</t>
  </si>
  <si>
    <t>Fair</t>
  </si>
  <si>
    <t>Macro F1 Score</t>
  </si>
  <si>
    <t>GPT 4.1m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</si>
</sst>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1"/>
      <color rgb="FFFF0000"/>
      <name val="Calibri"/>
      <family val="2"/>
    </font>
    <font>
      <sz val="11"/>
      <name val="Calibri"/>
      <family val="2"/>
    </font>
    <font>
      <sz val="11"/>
      <name val="Calibri"/>
      <family val="2"/>
      <scheme val="minor"/>
    </font>
    <font>
      <sz val="11"/>
      <color rgb="FFFF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CCFFCC"/>
        <bgColor indexed="64"/>
      </patternFill>
    </fill>
    <fill>
      <patternFill patternType="solid">
        <fgColor rgb="FFFFC0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2" fillId="0" borderId="0" xfId="0" applyFont="1" applyAlignment="1">
      <alignment vertical="top" wrapText="1"/>
    </xf>
    <xf numFmtId="0" fontId="2" fillId="0" borderId="0" xfId="0" applyFont="1" applyAlignment="1">
      <alignment horizontal="center" vertical="top" wrapText="1"/>
    </xf>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0" fillId="0" borderId="0" xfId="0" applyAlignment="1">
      <alignment horizontal="center" vertical="top"/>
    </xf>
    <xf numFmtId="0" fontId="2" fillId="0" borderId="0" xfId="0" applyFont="1" applyAlignment="1">
      <alignment horizontal="center" vertical="top"/>
    </xf>
    <xf numFmtId="0" fontId="2" fillId="0" borderId="0" xfId="0" applyFont="1" applyAlignment="1">
      <alignment horizontal="left" vertical="top"/>
    </xf>
    <xf numFmtId="9" fontId="0" fillId="0" borderId="0" xfId="1" applyFont="1" applyAlignment="1">
      <alignment horizontal="center" vertical="top"/>
    </xf>
    <xf numFmtId="0" fontId="0" fillId="0" borderId="1" xfId="0" applyBorder="1" applyAlignment="1">
      <alignment vertical="top" wrapText="1"/>
    </xf>
    <xf numFmtId="0" fontId="0" fillId="3" borderId="1" xfId="0" applyFill="1" applyBorder="1" applyAlignment="1">
      <alignment vertical="top" wrapText="1"/>
    </xf>
    <xf numFmtId="0" fontId="2" fillId="0" borderId="1" xfId="0" applyFont="1" applyBorder="1" applyAlignment="1">
      <alignment vertical="top" wrapText="1"/>
    </xf>
    <xf numFmtId="0" fontId="0" fillId="0" borderId="1" xfId="0" quotePrefix="1" applyBorder="1" applyAlignment="1">
      <alignment vertical="top" wrapText="1"/>
    </xf>
    <xf numFmtId="0" fontId="0" fillId="0" borderId="0" xfId="0" quotePrefix="1" applyAlignment="1">
      <alignment vertical="top" wrapText="1"/>
    </xf>
    <xf numFmtId="0" fontId="0" fillId="2" borderId="0" xfId="0" applyFill="1" applyAlignment="1">
      <alignment vertical="top"/>
    </xf>
    <xf numFmtId="0" fontId="0" fillId="2" borderId="0" xfId="0" applyFill="1" applyAlignment="1">
      <alignment vertical="top" wrapText="1"/>
    </xf>
    <xf numFmtId="9" fontId="0" fillId="0" borderId="0" xfId="1" applyFont="1" applyFill="1" applyAlignment="1">
      <alignment horizontal="center" vertical="top"/>
    </xf>
    <xf numFmtId="0" fontId="0" fillId="4" borderId="0" xfId="0" applyFill="1" applyAlignment="1">
      <alignment vertical="top" wrapText="1"/>
    </xf>
    <xf numFmtId="0" fontId="0" fillId="2" borderId="1" xfId="0" applyFill="1" applyBorder="1" applyAlignment="1">
      <alignment vertical="top" wrapText="1"/>
    </xf>
    <xf numFmtId="0" fontId="0" fillId="5" borderId="0" xfId="0" applyFill="1" applyAlignment="1">
      <alignment vertical="top" wrapText="1"/>
    </xf>
    <xf numFmtId="9" fontId="0" fillId="0" borderId="0" xfId="0" applyNumberFormat="1"/>
    <xf numFmtId="0" fontId="2" fillId="0" borderId="0" xfId="0" applyFont="1"/>
    <xf numFmtId="9" fontId="7" fillId="0" borderId="0" xfId="1" applyFont="1" applyFill="1" applyAlignment="1">
      <alignment horizontal="center" vertical="top"/>
    </xf>
    <xf numFmtId="0" fontId="0" fillId="6" borderId="0" xfId="0" applyFill="1" applyAlignment="1">
      <alignment vertical="top"/>
    </xf>
    <xf numFmtId="0" fontId="0" fillId="7" borderId="0" xfId="0" applyFill="1" applyAlignment="1">
      <alignment vertical="top"/>
    </xf>
    <xf numFmtId="0" fontId="2" fillId="4"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0" borderId="1" xfId="0" applyFont="1" applyBorder="1" applyAlignment="1">
      <alignment vertical="top"/>
    </xf>
    <xf numFmtId="9" fontId="8" fillId="4" borderId="1" xfId="0" applyNumberFormat="1" applyFont="1" applyFill="1" applyBorder="1" applyAlignment="1">
      <alignment horizontal="center" vertical="top"/>
    </xf>
    <xf numFmtId="9" fontId="8" fillId="8" borderId="1" xfId="0" applyNumberFormat="1" applyFont="1" applyFill="1" applyBorder="1" applyAlignment="1">
      <alignment horizontal="center" vertical="top"/>
    </xf>
    <xf numFmtId="0" fontId="0" fillId="0" borderId="3" xfId="0" applyBorder="1" applyAlignment="1">
      <alignment vertical="top"/>
    </xf>
    <xf numFmtId="0" fontId="0" fillId="0" borderId="2" xfId="0" applyBorder="1" applyAlignment="1">
      <alignment vertical="top"/>
    </xf>
    <xf numFmtId="9" fontId="0" fillId="4" borderId="1" xfId="0" applyNumberFormat="1" applyFill="1" applyBorder="1" applyAlignment="1">
      <alignment horizontal="center" vertical="top"/>
    </xf>
    <xf numFmtId="0" fontId="0" fillId="4" borderId="1" xfId="0" applyFill="1" applyBorder="1" applyAlignment="1">
      <alignment horizontal="center" vertical="top"/>
    </xf>
    <xf numFmtId="0" fontId="0" fillId="8" borderId="1" xfId="0" applyFill="1" applyBorder="1" applyAlignment="1">
      <alignment horizontal="center" vertical="top"/>
    </xf>
    <xf numFmtId="0" fontId="2" fillId="4" borderId="1" xfId="0" applyFont="1" applyFill="1" applyBorder="1" applyAlignment="1">
      <alignment horizontal="center" vertical="top"/>
    </xf>
    <xf numFmtId="9" fontId="0" fillId="0" borderId="0" xfId="1" applyFont="1"/>
  </cellXfs>
  <cellStyles count="2">
    <cellStyle name="Normal" xfId="0" builtinId="0"/>
    <cellStyle name="Percent" xfId="1" builtinId="5"/>
  </cellStyles>
  <dxfs count="0"/>
  <tableStyles count="0" defaultTableStyle="TableStyleMedium2" defaultPivotStyle="PivotStyleLight16"/>
  <colors>
    <mruColors>
      <color rgb="FFCC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Main!$E$1</c:f>
              <c:strCache>
                <c:ptCount val="1"/>
                <c:pt idx="0">
                  <c:v>Precision</c:v>
                </c:pt>
              </c:strCache>
            </c:strRef>
          </c:tx>
          <c:spPr>
            <a:solidFill>
              <a:schemeClr val="accent1"/>
            </a:solidFill>
            <a:ln>
              <a:noFill/>
            </a:ln>
            <a:effectLst/>
          </c:spPr>
          <c:invertIfNegative val="0"/>
          <c:cat>
            <c:multiLvlStrRef>
              <c:f>(Main!$B$40:$D$40,Main!$B$44:$D$44,Main!$B$61:$D$61)</c:f>
              <c:multiLvlStrCache>
                <c:ptCount val="2"/>
                <c:lvl>
                  <c:pt idx="0">
                    <c:v>All</c:v>
                  </c:pt>
                  <c:pt idx="1">
                    <c:v>All</c:v>
                  </c:pt>
                </c:lvl>
                <c:lvl>
                  <c:pt idx="0">
                    <c:v>GPT4.1m-fine-tunned</c:v>
                  </c:pt>
                  <c:pt idx="1">
                    <c:v>FS6-Full-Gemini3.1-pro-25.04.26</c:v>
                  </c:pt>
                </c:lvl>
                <c:lvl>
                  <c:pt idx="0">
                    <c:v>Fine Tunned GPT 4.1m</c:v>
                  </c:pt>
                  <c:pt idx="1">
                    <c:v>V6 Few Shot Gemini 3.1 Pro</c:v>
                  </c:pt>
                </c:lvl>
              </c:multiLvlStrCache>
            </c:multiLvlStrRef>
          </c:cat>
          <c:val>
            <c:numRef>
              <c:f>(Main!$E$40,Main!$E$44,Main!$E$61)</c:f>
            </c:numRef>
          </c:val>
          <c:extLst>
            <c:ext xmlns:c16="http://schemas.microsoft.com/office/drawing/2014/chart" uri="{C3380CC4-5D6E-409C-BE32-E72D297353CC}">
              <c16:uniqueId val="{00000000-6766-4151-9C56-9C757DC61712}"/>
            </c:ext>
          </c:extLst>
        </c:ser>
        <c:ser>
          <c:idx val="1"/>
          <c:order val="1"/>
          <c:tx>
            <c:strRef>
              <c:f>Main!$F$1</c:f>
              <c:strCache>
                <c:ptCount val="1"/>
                <c:pt idx="0">
                  <c:v>Recall</c:v>
                </c:pt>
              </c:strCache>
            </c:strRef>
          </c:tx>
          <c:spPr>
            <a:solidFill>
              <a:schemeClr val="accent2"/>
            </a:solidFill>
            <a:ln>
              <a:noFill/>
            </a:ln>
            <a:effectLst/>
          </c:spPr>
          <c:invertIfNegative val="0"/>
          <c:cat>
            <c:multiLvlStrRef>
              <c:f>(Main!$B$40:$D$40,Main!$B$44:$D$44,Main!$B$61:$D$61)</c:f>
              <c:multiLvlStrCache>
                <c:ptCount val="2"/>
                <c:lvl>
                  <c:pt idx="0">
                    <c:v>All</c:v>
                  </c:pt>
                  <c:pt idx="1">
                    <c:v>All</c:v>
                  </c:pt>
                </c:lvl>
                <c:lvl>
                  <c:pt idx="0">
                    <c:v>GPT4.1m-fine-tunned</c:v>
                  </c:pt>
                  <c:pt idx="1">
                    <c:v>FS6-Full-Gemini3.1-pro-25.04.26</c:v>
                  </c:pt>
                </c:lvl>
                <c:lvl>
                  <c:pt idx="0">
                    <c:v>Fine Tunned GPT 4.1m</c:v>
                  </c:pt>
                  <c:pt idx="1">
                    <c:v>V6 Few Shot Gemini 3.1 Pro</c:v>
                  </c:pt>
                </c:lvl>
              </c:multiLvlStrCache>
            </c:multiLvlStrRef>
          </c:cat>
          <c:val>
            <c:numRef>
              <c:f>(Main!$F$40,Main!$F$44,Main!$F$61)</c:f>
            </c:numRef>
          </c:val>
          <c:extLst>
            <c:ext xmlns:c16="http://schemas.microsoft.com/office/drawing/2014/chart" uri="{C3380CC4-5D6E-409C-BE32-E72D297353CC}">
              <c16:uniqueId val="{00000001-6766-4151-9C56-9C757DC61712}"/>
            </c:ext>
          </c:extLst>
        </c:ser>
        <c:ser>
          <c:idx val="2"/>
          <c:order val="2"/>
          <c:tx>
            <c:strRef>
              <c:f>Main!$G$1</c:f>
              <c:strCache>
                <c:ptCount val="1"/>
                <c:pt idx="0">
                  <c:v>F1</c:v>
                </c:pt>
              </c:strCache>
            </c:strRef>
          </c:tx>
          <c:spPr>
            <a:solidFill>
              <a:schemeClr val="accent3"/>
            </a:solidFill>
            <a:ln>
              <a:noFill/>
            </a:ln>
            <a:effectLst/>
          </c:spPr>
          <c:invertIfNegative val="0"/>
          <c:cat>
            <c:multiLvlStrRef>
              <c:f>(Main!$B$40:$D$40,Main!$B$44:$D$44,Main!$B$61:$D$61)</c:f>
              <c:multiLvlStrCache>
                <c:ptCount val="2"/>
                <c:lvl>
                  <c:pt idx="0">
                    <c:v>All</c:v>
                  </c:pt>
                  <c:pt idx="1">
                    <c:v>All</c:v>
                  </c:pt>
                </c:lvl>
                <c:lvl>
                  <c:pt idx="0">
                    <c:v>GPT4.1m-fine-tunned</c:v>
                  </c:pt>
                  <c:pt idx="1">
                    <c:v>FS6-Full-Gemini3.1-pro-25.04.26</c:v>
                  </c:pt>
                </c:lvl>
                <c:lvl>
                  <c:pt idx="0">
                    <c:v>Fine Tunned GPT 4.1m</c:v>
                  </c:pt>
                  <c:pt idx="1">
                    <c:v>V6 Few Shot Gemini 3.1 Pro</c:v>
                  </c:pt>
                </c:lvl>
              </c:multiLvlStrCache>
            </c:multiLvlStrRef>
          </c:cat>
          <c:val>
            <c:numRef>
              <c:f>(Main!$G$40,Main!$G$44,Main!$G$61)</c:f>
              <c:numCache>
                <c:formatCode>0%</c:formatCode>
                <c:ptCount val="2"/>
                <c:pt idx="0">
                  <c:v>0.83037000000000005</c:v>
                </c:pt>
                <c:pt idx="1">
                  <c:v>0.73928000000000005</c:v>
                </c:pt>
              </c:numCache>
            </c:numRef>
          </c:val>
          <c:extLst>
            <c:ext xmlns:c16="http://schemas.microsoft.com/office/drawing/2014/chart" uri="{C3380CC4-5D6E-409C-BE32-E72D297353CC}">
              <c16:uniqueId val="{00000002-6766-4151-9C56-9C757DC61712}"/>
            </c:ext>
          </c:extLst>
        </c:ser>
        <c:ser>
          <c:idx val="3"/>
          <c:order val="3"/>
          <c:tx>
            <c:strRef>
              <c:f>Main!$H$1</c:f>
              <c:strCache>
                <c:ptCount val="1"/>
                <c:pt idx="0">
                  <c:v>F1 Micro</c:v>
                </c:pt>
              </c:strCache>
            </c:strRef>
          </c:tx>
          <c:spPr>
            <a:solidFill>
              <a:schemeClr val="accent4"/>
            </a:solidFill>
            <a:ln>
              <a:noFill/>
            </a:ln>
            <a:effectLst/>
          </c:spPr>
          <c:invertIfNegative val="0"/>
          <c:cat>
            <c:multiLvlStrRef>
              <c:f>(Main!$B$40:$D$40,Main!$B$44:$D$44,Main!$B$61:$D$61)</c:f>
              <c:multiLvlStrCache>
                <c:ptCount val="2"/>
                <c:lvl>
                  <c:pt idx="0">
                    <c:v>All</c:v>
                  </c:pt>
                  <c:pt idx="1">
                    <c:v>All</c:v>
                  </c:pt>
                </c:lvl>
                <c:lvl>
                  <c:pt idx="0">
                    <c:v>GPT4.1m-fine-tunned</c:v>
                  </c:pt>
                  <c:pt idx="1">
                    <c:v>FS6-Full-Gemini3.1-pro-25.04.26</c:v>
                  </c:pt>
                </c:lvl>
                <c:lvl>
                  <c:pt idx="0">
                    <c:v>Fine Tunned GPT 4.1m</c:v>
                  </c:pt>
                  <c:pt idx="1">
                    <c:v>V6 Few Shot Gemini 3.1 Pro</c:v>
                  </c:pt>
                </c:lvl>
              </c:multiLvlStrCache>
            </c:multiLvlStrRef>
          </c:cat>
          <c:val>
            <c:numRef>
              <c:f>(Main!$H$40,Main!$H$44,Main!$H$61)</c:f>
            </c:numRef>
          </c:val>
          <c:extLst>
            <c:ext xmlns:c16="http://schemas.microsoft.com/office/drawing/2014/chart" uri="{C3380CC4-5D6E-409C-BE32-E72D297353CC}">
              <c16:uniqueId val="{00000004-6766-4151-9C56-9C757DC61712}"/>
            </c:ext>
          </c:extLst>
        </c:ser>
        <c:dLbls>
          <c:showLegendKey val="0"/>
          <c:showVal val="0"/>
          <c:showCatName val="0"/>
          <c:showSerName val="0"/>
          <c:showPercent val="0"/>
          <c:showBubbleSize val="0"/>
        </c:dLbls>
        <c:gapWidth val="182"/>
        <c:axId val="1554541231"/>
        <c:axId val="1554540271"/>
      </c:barChart>
      <c:catAx>
        <c:axId val="155454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40271"/>
        <c:crosses val="autoZero"/>
        <c:auto val="1"/>
        <c:lblAlgn val="ctr"/>
        <c:lblOffset val="100"/>
        <c:noMultiLvlLbl val="0"/>
      </c:catAx>
      <c:valAx>
        <c:axId val="15545402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41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Main!$E$1</c:f>
              <c:strCache>
                <c:ptCount val="1"/>
                <c:pt idx="0">
                  <c:v>Precision</c:v>
                </c:pt>
              </c:strCache>
            </c:strRef>
          </c:tx>
          <c:spPr>
            <a:solidFill>
              <a:schemeClr val="accent1"/>
            </a:solidFill>
            <a:ln>
              <a:noFill/>
            </a:ln>
            <a:effectLst/>
          </c:spPr>
          <c:invertIfNegative val="0"/>
          <c:cat>
            <c:strRef>
              <c:f>(Main!$B$44,Main!$B$61,Main!$B$40)</c:f>
              <c:strCache>
                <c:ptCount val="2"/>
                <c:pt idx="0">
                  <c:v>V6 Few Shot Gemini 3.1 Pro</c:v>
                </c:pt>
                <c:pt idx="1">
                  <c:v>Fine Tunned GPT 4.1m</c:v>
                </c:pt>
              </c:strCache>
            </c:strRef>
          </c:cat>
          <c:val>
            <c:numRef>
              <c:f>(Main!$E$44,Main!$E$61,Main!$E$40)</c:f>
            </c:numRef>
          </c:val>
          <c:extLst>
            <c:ext xmlns:c16="http://schemas.microsoft.com/office/drawing/2014/chart" uri="{C3380CC4-5D6E-409C-BE32-E72D297353CC}">
              <c16:uniqueId val="{00000000-CEF0-4522-BFB9-9C039F12CE1E}"/>
            </c:ext>
          </c:extLst>
        </c:ser>
        <c:ser>
          <c:idx val="1"/>
          <c:order val="1"/>
          <c:tx>
            <c:strRef>
              <c:f>Main!$F$1</c:f>
              <c:strCache>
                <c:ptCount val="1"/>
                <c:pt idx="0">
                  <c:v>Recall</c:v>
                </c:pt>
              </c:strCache>
            </c:strRef>
          </c:tx>
          <c:spPr>
            <a:solidFill>
              <a:schemeClr val="accent2"/>
            </a:solidFill>
            <a:ln>
              <a:noFill/>
            </a:ln>
            <a:effectLst/>
          </c:spPr>
          <c:invertIfNegative val="0"/>
          <c:cat>
            <c:strRef>
              <c:f>(Main!$B$44,Main!$B$61,Main!$B$40)</c:f>
              <c:strCache>
                <c:ptCount val="2"/>
                <c:pt idx="0">
                  <c:v>V6 Few Shot Gemini 3.1 Pro</c:v>
                </c:pt>
                <c:pt idx="1">
                  <c:v>Fine Tunned GPT 4.1m</c:v>
                </c:pt>
              </c:strCache>
            </c:strRef>
          </c:cat>
          <c:val>
            <c:numRef>
              <c:f>(Main!$F$44,Main!$F$61,Main!$F$40)</c:f>
            </c:numRef>
          </c:val>
          <c:extLst>
            <c:ext xmlns:c16="http://schemas.microsoft.com/office/drawing/2014/chart" uri="{C3380CC4-5D6E-409C-BE32-E72D297353CC}">
              <c16:uniqueId val="{00000001-CEF0-4522-BFB9-9C039F12CE1E}"/>
            </c:ext>
          </c:extLst>
        </c:ser>
        <c:ser>
          <c:idx val="2"/>
          <c:order val="2"/>
          <c:tx>
            <c:strRef>
              <c:f>Main!$G$1</c:f>
              <c:strCache>
                <c:ptCount val="1"/>
                <c:pt idx="0">
                  <c:v>F1</c:v>
                </c:pt>
              </c:strCache>
            </c:strRef>
          </c:tx>
          <c:spPr>
            <a:solidFill>
              <a:schemeClr val="accent3"/>
            </a:solidFill>
            <a:ln>
              <a:noFill/>
            </a:ln>
            <a:effectLst/>
          </c:spPr>
          <c:invertIfNegative val="0"/>
          <c:cat>
            <c:strRef>
              <c:f>(Main!$B$44,Main!$B$61,Main!$B$40)</c:f>
              <c:strCache>
                <c:ptCount val="2"/>
                <c:pt idx="0">
                  <c:v>V6 Few Shot Gemini 3.1 Pro</c:v>
                </c:pt>
                <c:pt idx="1">
                  <c:v>Fine Tunned GPT 4.1m</c:v>
                </c:pt>
              </c:strCache>
            </c:strRef>
          </c:cat>
          <c:val>
            <c:numRef>
              <c:f>(Main!$G$44,Main!$G$61,Main!$G$40)</c:f>
              <c:numCache>
                <c:formatCode>0%</c:formatCode>
                <c:ptCount val="2"/>
                <c:pt idx="0">
                  <c:v>0.73928000000000005</c:v>
                </c:pt>
                <c:pt idx="1">
                  <c:v>0.83037000000000005</c:v>
                </c:pt>
              </c:numCache>
            </c:numRef>
          </c:val>
          <c:extLst>
            <c:ext xmlns:c16="http://schemas.microsoft.com/office/drawing/2014/chart" uri="{C3380CC4-5D6E-409C-BE32-E72D297353CC}">
              <c16:uniqueId val="{00000002-CEF0-4522-BFB9-9C039F12CE1E}"/>
            </c:ext>
          </c:extLst>
        </c:ser>
        <c:ser>
          <c:idx val="3"/>
          <c:order val="3"/>
          <c:tx>
            <c:strRef>
              <c:f>Main!$H$1</c:f>
              <c:strCache>
                <c:ptCount val="1"/>
                <c:pt idx="0">
                  <c:v>F1 Micro</c:v>
                </c:pt>
              </c:strCache>
            </c:strRef>
          </c:tx>
          <c:spPr>
            <a:solidFill>
              <a:schemeClr val="accent4"/>
            </a:solidFill>
            <a:ln>
              <a:noFill/>
            </a:ln>
            <a:effectLst/>
          </c:spPr>
          <c:invertIfNegative val="0"/>
          <c:cat>
            <c:strRef>
              <c:f>(Main!$B$44,Main!$B$61,Main!$B$40)</c:f>
              <c:strCache>
                <c:ptCount val="2"/>
                <c:pt idx="0">
                  <c:v>V6 Few Shot Gemini 3.1 Pro</c:v>
                </c:pt>
                <c:pt idx="1">
                  <c:v>Fine Tunned GPT 4.1m</c:v>
                </c:pt>
              </c:strCache>
            </c:strRef>
          </c:cat>
          <c:val>
            <c:numRef>
              <c:f>(Main!$H$44,Main!$H$61,Main!$H$40)</c:f>
            </c:numRef>
          </c:val>
          <c:extLst>
            <c:ext xmlns:c16="http://schemas.microsoft.com/office/drawing/2014/chart" uri="{C3380CC4-5D6E-409C-BE32-E72D297353CC}">
              <c16:uniqueId val="{00000003-CEF0-4522-BFB9-9C039F12CE1E}"/>
            </c:ext>
          </c:extLst>
        </c:ser>
        <c:dLbls>
          <c:showLegendKey val="0"/>
          <c:showVal val="0"/>
          <c:showCatName val="0"/>
          <c:showSerName val="0"/>
          <c:showPercent val="0"/>
          <c:showBubbleSize val="0"/>
        </c:dLbls>
        <c:gapWidth val="219"/>
        <c:overlap val="-27"/>
        <c:axId val="1548562959"/>
        <c:axId val="1548559599"/>
      </c:barChart>
      <c:catAx>
        <c:axId val="154856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559599"/>
        <c:crosses val="autoZero"/>
        <c:auto val="1"/>
        <c:lblAlgn val="ctr"/>
        <c:lblOffset val="100"/>
        <c:noMultiLvlLbl val="0"/>
      </c:catAx>
      <c:valAx>
        <c:axId val="1548559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562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Main!$E$1</c:f>
              <c:strCache>
                <c:ptCount val="1"/>
                <c:pt idx="0">
                  <c:v>Precision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Main!$B$41:$D$49</c:f>
              <c:multiLvlStrCache>
                <c:ptCount val="2"/>
                <c:lvl>
                  <c:pt idx="0">
                    <c:v>All</c:v>
                  </c:pt>
                  <c:pt idx="1">
                    <c:v>All</c:v>
                  </c:pt>
                </c:lvl>
                <c:lvl>
                  <c:pt idx="0">
                    <c:v>Gemini-2.5-flash-fine-tunned</c:v>
                  </c:pt>
                  <c:pt idx="1">
                    <c:v>ZS3-Full-4.1m-15.04.26</c:v>
                  </c:pt>
                </c:lvl>
                <c:lvl>
                  <c:pt idx="0">
                    <c:v>Fine Tunned Gemini-2.5-flash</c:v>
                  </c:pt>
                  <c:pt idx="1">
                    <c:v>V3 Zero Shot GPT 4.1m</c:v>
                  </c:pt>
                </c:lvl>
              </c:multiLvlStrCache>
            </c:multiLvlStrRef>
          </c:cat>
          <c:val>
            <c:numRef>
              <c:f>Main!$E$41:$E$49</c:f>
            </c:numRef>
          </c:val>
          <c:smooth val="0"/>
          <c:extLst>
            <c:ext xmlns:c16="http://schemas.microsoft.com/office/drawing/2014/chart" uri="{C3380CC4-5D6E-409C-BE32-E72D297353CC}">
              <c16:uniqueId val="{00000000-8B6E-4199-929A-E04F4D1CAC3E}"/>
            </c:ext>
          </c:extLst>
        </c:ser>
        <c:ser>
          <c:idx val="1"/>
          <c:order val="1"/>
          <c:tx>
            <c:strRef>
              <c:f>Main!$F$1</c:f>
              <c:strCache>
                <c:ptCount val="1"/>
                <c:pt idx="0">
                  <c:v>Recall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Main!$B$41:$D$49</c:f>
              <c:multiLvlStrCache>
                <c:ptCount val="2"/>
                <c:lvl>
                  <c:pt idx="0">
                    <c:v>All</c:v>
                  </c:pt>
                  <c:pt idx="1">
                    <c:v>All</c:v>
                  </c:pt>
                </c:lvl>
                <c:lvl>
                  <c:pt idx="0">
                    <c:v>Gemini-2.5-flash-fine-tunned</c:v>
                  </c:pt>
                  <c:pt idx="1">
                    <c:v>ZS3-Full-4.1m-15.04.26</c:v>
                  </c:pt>
                </c:lvl>
                <c:lvl>
                  <c:pt idx="0">
                    <c:v>Fine Tunned Gemini-2.5-flash</c:v>
                  </c:pt>
                  <c:pt idx="1">
                    <c:v>V3 Zero Shot GPT 4.1m</c:v>
                  </c:pt>
                </c:lvl>
              </c:multiLvlStrCache>
            </c:multiLvlStrRef>
          </c:cat>
          <c:val>
            <c:numRef>
              <c:f>Main!$F$41:$F$49</c:f>
            </c:numRef>
          </c:val>
          <c:smooth val="0"/>
          <c:extLst>
            <c:ext xmlns:c16="http://schemas.microsoft.com/office/drawing/2014/chart" uri="{C3380CC4-5D6E-409C-BE32-E72D297353CC}">
              <c16:uniqueId val="{00000001-8B6E-4199-929A-E04F4D1CAC3E}"/>
            </c:ext>
          </c:extLst>
        </c:ser>
        <c:ser>
          <c:idx val="2"/>
          <c:order val="2"/>
          <c:tx>
            <c:strRef>
              <c:f>Main!$G$1</c:f>
              <c:strCache>
                <c:ptCount val="1"/>
                <c:pt idx="0">
                  <c:v>F1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Main!$B$41:$D$49</c:f>
              <c:multiLvlStrCache>
                <c:ptCount val="2"/>
                <c:lvl>
                  <c:pt idx="0">
                    <c:v>All</c:v>
                  </c:pt>
                  <c:pt idx="1">
                    <c:v>All</c:v>
                  </c:pt>
                </c:lvl>
                <c:lvl>
                  <c:pt idx="0">
                    <c:v>Gemini-2.5-flash-fine-tunned</c:v>
                  </c:pt>
                  <c:pt idx="1">
                    <c:v>ZS3-Full-4.1m-15.04.26</c:v>
                  </c:pt>
                </c:lvl>
                <c:lvl>
                  <c:pt idx="0">
                    <c:v>Fine Tunned Gemini-2.5-flash</c:v>
                  </c:pt>
                  <c:pt idx="1">
                    <c:v>V3 Zero Shot GPT 4.1m</c:v>
                  </c:pt>
                </c:lvl>
              </c:multiLvlStrCache>
            </c:multiLvlStrRef>
          </c:cat>
          <c:val>
            <c:numRef>
              <c:f>Main!$G$41:$G$49</c:f>
              <c:numCache>
                <c:formatCode>0%</c:formatCode>
                <c:ptCount val="2"/>
                <c:pt idx="0">
                  <c:v>0.80666000000000004</c:v>
                </c:pt>
                <c:pt idx="1">
                  <c:v>0.53627000000000002</c:v>
                </c:pt>
              </c:numCache>
            </c:numRef>
          </c:val>
          <c:smooth val="0"/>
          <c:extLst>
            <c:ext xmlns:c16="http://schemas.microsoft.com/office/drawing/2014/chart" uri="{C3380CC4-5D6E-409C-BE32-E72D297353CC}">
              <c16:uniqueId val="{00000002-8B6E-4199-929A-E04F4D1CAC3E}"/>
            </c:ext>
          </c:extLst>
        </c:ser>
        <c:ser>
          <c:idx val="3"/>
          <c:order val="3"/>
          <c:tx>
            <c:strRef>
              <c:f>Main!$H$1</c:f>
              <c:strCache>
                <c:ptCount val="1"/>
                <c:pt idx="0">
                  <c:v>F1 Micro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Main!$B$41:$D$49</c:f>
              <c:multiLvlStrCache>
                <c:ptCount val="2"/>
                <c:lvl>
                  <c:pt idx="0">
                    <c:v>All</c:v>
                  </c:pt>
                  <c:pt idx="1">
                    <c:v>All</c:v>
                  </c:pt>
                </c:lvl>
                <c:lvl>
                  <c:pt idx="0">
                    <c:v>Gemini-2.5-flash-fine-tunned</c:v>
                  </c:pt>
                  <c:pt idx="1">
                    <c:v>ZS3-Full-4.1m-15.04.26</c:v>
                  </c:pt>
                </c:lvl>
                <c:lvl>
                  <c:pt idx="0">
                    <c:v>Fine Tunned Gemini-2.5-flash</c:v>
                  </c:pt>
                  <c:pt idx="1">
                    <c:v>V3 Zero Shot GPT 4.1m</c:v>
                  </c:pt>
                </c:lvl>
              </c:multiLvlStrCache>
            </c:multiLvlStrRef>
          </c:cat>
          <c:val>
            <c:numRef>
              <c:f>Main!$H$41:$H$49</c:f>
            </c:numRef>
          </c:val>
          <c:smooth val="0"/>
          <c:extLst>
            <c:ext xmlns:c16="http://schemas.microsoft.com/office/drawing/2014/chart" uri="{C3380CC4-5D6E-409C-BE32-E72D297353CC}">
              <c16:uniqueId val="{00000003-8B6E-4199-929A-E04F4D1CAC3E}"/>
            </c:ext>
          </c:extLst>
        </c:ser>
        <c:dLbls>
          <c:showLegendKey val="0"/>
          <c:showVal val="0"/>
          <c:showCatName val="0"/>
          <c:showSerName val="0"/>
          <c:showPercent val="0"/>
          <c:showBubbleSize val="0"/>
        </c:dLbls>
        <c:marker val="1"/>
        <c:smooth val="0"/>
        <c:axId val="58433376"/>
        <c:axId val="58429536"/>
      </c:lineChart>
      <c:catAx>
        <c:axId val="5843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29536"/>
        <c:crosses val="autoZero"/>
        <c:auto val="1"/>
        <c:lblAlgn val="ctr"/>
        <c:lblOffset val="100"/>
        <c:noMultiLvlLbl val="0"/>
      </c:catAx>
      <c:valAx>
        <c:axId val="58429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3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Main!$E$1</c:f>
              <c:strCache>
                <c:ptCount val="1"/>
                <c:pt idx="0">
                  <c:v>Precision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Main!$B$45:$D$61</c:f>
              <c:multiLvlStrCache>
                <c:ptCount val="9"/>
                <c:lvl>
                  <c:pt idx="0">
                    <c:v>All</c:v>
                  </c:pt>
                  <c:pt idx="1">
                    <c:v>All</c:v>
                  </c:pt>
                  <c:pt idx="2">
                    <c:v>All</c:v>
                  </c:pt>
                  <c:pt idx="3">
                    <c:v>All</c:v>
                  </c:pt>
                  <c:pt idx="4">
                    <c:v>All</c:v>
                  </c:pt>
                  <c:pt idx="5">
                    <c:v>All</c:v>
                  </c:pt>
                  <c:pt idx="6">
                    <c:v>All</c:v>
                  </c:pt>
                  <c:pt idx="7">
                    <c:v>All</c:v>
                  </c:pt>
                  <c:pt idx="8">
                    <c:v>All</c:v>
                  </c:pt>
                </c:lvl>
                <c:lvl>
                  <c:pt idx="0">
                    <c:v>ZS3-Full-4.1m-15.04.26</c:v>
                  </c:pt>
                  <c:pt idx="1">
                    <c:v>ZS8-Full-Gemini2.5-flash-27.05.</c:v>
                  </c:pt>
                  <c:pt idx="2">
                    <c:v>ZS9-Full-Gemini3.1-pro-27.05.26</c:v>
                  </c:pt>
                  <c:pt idx="3">
                    <c:v>ZS12-Full-4.1m-27.05.26</c:v>
                  </c:pt>
                  <c:pt idx="4">
                    <c:v>ZS11-Full-Gemini-2.5-flash-27.0</c:v>
                  </c:pt>
                  <c:pt idx="5">
                    <c:v>ZS13-Full-Gemini-3.1-Pro-27.05.</c:v>
                  </c:pt>
                  <c:pt idx="6">
                    <c:v>FS3-Full-4.1m-08.04.26</c:v>
                  </c:pt>
                  <c:pt idx="7">
                    <c:v>FS8-Full-Gemini-2.5-flash-27.05</c:v>
                  </c:pt>
                  <c:pt idx="8">
                    <c:v>FS6-Full-Gemini3.1-pro-25.04.26</c:v>
                  </c:pt>
                </c:lvl>
                <c:lvl>
                  <c:pt idx="0">
                    <c:v>V3 Zero Shot GPT 4.1m</c:v>
                  </c:pt>
                  <c:pt idx="1">
                    <c:v>V8 Zero Shot Gemini 2.5 Flash</c:v>
                  </c:pt>
                  <c:pt idx="2">
                    <c:v>V9 Zero Shot Gemini 3.1 Pro</c:v>
                  </c:pt>
                  <c:pt idx="3">
                    <c:v>V12 Zero Shot LLM Fairness GPT 4.1m</c:v>
                  </c:pt>
                  <c:pt idx="4">
                    <c:v>V11 Zero Shot LLM Fairness Gemini 2.5 Flash</c:v>
                  </c:pt>
                  <c:pt idx="5">
                    <c:v>V13 Zero Shot LLM Fairness Gemini 3.1 Pro</c:v>
                  </c:pt>
                  <c:pt idx="6">
                    <c:v>V3 Few Shot GPT 4.1m</c:v>
                  </c:pt>
                  <c:pt idx="7">
                    <c:v>V8 Few Shot Gemini 2.5 Flash</c:v>
                  </c:pt>
                  <c:pt idx="8">
                    <c:v>V6 Few Shot Gemini 3.1 Pro</c:v>
                  </c:pt>
                </c:lvl>
              </c:multiLvlStrCache>
            </c:multiLvlStrRef>
          </c:cat>
          <c:val>
            <c:numRef>
              <c:f>Main!$E$45:$E$61</c:f>
            </c:numRef>
          </c:val>
          <c:smooth val="0"/>
          <c:extLst>
            <c:ext xmlns:c16="http://schemas.microsoft.com/office/drawing/2014/chart" uri="{C3380CC4-5D6E-409C-BE32-E72D297353CC}">
              <c16:uniqueId val="{00000000-E438-4F22-AE18-7141D970B103}"/>
            </c:ext>
          </c:extLst>
        </c:ser>
        <c:ser>
          <c:idx val="1"/>
          <c:order val="1"/>
          <c:tx>
            <c:strRef>
              <c:f>Main!$F$1</c:f>
              <c:strCache>
                <c:ptCount val="1"/>
                <c:pt idx="0">
                  <c:v>Recall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Main!$B$45:$D$61</c:f>
              <c:multiLvlStrCache>
                <c:ptCount val="9"/>
                <c:lvl>
                  <c:pt idx="0">
                    <c:v>All</c:v>
                  </c:pt>
                  <c:pt idx="1">
                    <c:v>All</c:v>
                  </c:pt>
                  <c:pt idx="2">
                    <c:v>All</c:v>
                  </c:pt>
                  <c:pt idx="3">
                    <c:v>All</c:v>
                  </c:pt>
                  <c:pt idx="4">
                    <c:v>All</c:v>
                  </c:pt>
                  <c:pt idx="5">
                    <c:v>All</c:v>
                  </c:pt>
                  <c:pt idx="6">
                    <c:v>All</c:v>
                  </c:pt>
                  <c:pt idx="7">
                    <c:v>All</c:v>
                  </c:pt>
                  <c:pt idx="8">
                    <c:v>All</c:v>
                  </c:pt>
                </c:lvl>
                <c:lvl>
                  <c:pt idx="0">
                    <c:v>ZS3-Full-4.1m-15.04.26</c:v>
                  </c:pt>
                  <c:pt idx="1">
                    <c:v>ZS8-Full-Gemini2.5-flash-27.05.</c:v>
                  </c:pt>
                  <c:pt idx="2">
                    <c:v>ZS9-Full-Gemini3.1-pro-27.05.26</c:v>
                  </c:pt>
                  <c:pt idx="3">
                    <c:v>ZS12-Full-4.1m-27.05.26</c:v>
                  </c:pt>
                  <c:pt idx="4">
                    <c:v>ZS11-Full-Gemini-2.5-flash-27.0</c:v>
                  </c:pt>
                  <c:pt idx="5">
                    <c:v>ZS13-Full-Gemini-3.1-Pro-27.05.</c:v>
                  </c:pt>
                  <c:pt idx="6">
                    <c:v>FS3-Full-4.1m-08.04.26</c:v>
                  </c:pt>
                  <c:pt idx="7">
                    <c:v>FS8-Full-Gemini-2.5-flash-27.05</c:v>
                  </c:pt>
                  <c:pt idx="8">
                    <c:v>FS6-Full-Gemini3.1-pro-25.04.26</c:v>
                  </c:pt>
                </c:lvl>
                <c:lvl>
                  <c:pt idx="0">
                    <c:v>V3 Zero Shot GPT 4.1m</c:v>
                  </c:pt>
                  <c:pt idx="1">
                    <c:v>V8 Zero Shot Gemini 2.5 Flash</c:v>
                  </c:pt>
                  <c:pt idx="2">
                    <c:v>V9 Zero Shot Gemini 3.1 Pro</c:v>
                  </c:pt>
                  <c:pt idx="3">
                    <c:v>V12 Zero Shot LLM Fairness GPT 4.1m</c:v>
                  </c:pt>
                  <c:pt idx="4">
                    <c:v>V11 Zero Shot LLM Fairness Gemini 2.5 Flash</c:v>
                  </c:pt>
                  <c:pt idx="5">
                    <c:v>V13 Zero Shot LLM Fairness Gemini 3.1 Pro</c:v>
                  </c:pt>
                  <c:pt idx="6">
                    <c:v>V3 Few Shot GPT 4.1m</c:v>
                  </c:pt>
                  <c:pt idx="7">
                    <c:v>V8 Few Shot Gemini 2.5 Flash</c:v>
                  </c:pt>
                  <c:pt idx="8">
                    <c:v>V6 Few Shot Gemini 3.1 Pro</c:v>
                  </c:pt>
                </c:lvl>
              </c:multiLvlStrCache>
            </c:multiLvlStrRef>
          </c:cat>
          <c:val>
            <c:numRef>
              <c:f>Main!$F$45:$F$61</c:f>
            </c:numRef>
          </c:val>
          <c:smooth val="0"/>
          <c:extLst>
            <c:ext xmlns:c16="http://schemas.microsoft.com/office/drawing/2014/chart" uri="{C3380CC4-5D6E-409C-BE32-E72D297353CC}">
              <c16:uniqueId val="{00000001-E438-4F22-AE18-7141D970B103}"/>
            </c:ext>
          </c:extLst>
        </c:ser>
        <c:ser>
          <c:idx val="2"/>
          <c:order val="2"/>
          <c:tx>
            <c:strRef>
              <c:f>Main!$G$1</c:f>
              <c:strCache>
                <c:ptCount val="1"/>
                <c:pt idx="0">
                  <c:v>F1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Main!$B$45:$D$61</c:f>
              <c:multiLvlStrCache>
                <c:ptCount val="9"/>
                <c:lvl>
                  <c:pt idx="0">
                    <c:v>All</c:v>
                  </c:pt>
                  <c:pt idx="1">
                    <c:v>All</c:v>
                  </c:pt>
                  <c:pt idx="2">
                    <c:v>All</c:v>
                  </c:pt>
                  <c:pt idx="3">
                    <c:v>All</c:v>
                  </c:pt>
                  <c:pt idx="4">
                    <c:v>All</c:v>
                  </c:pt>
                  <c:pt idx="5">
                    <c:v>All</c:v>
                  </c:pt>
                  <c:pt idx="6">
                    <c:v>All</c:v>
                  </c:pt>
                  <c:pt idx="7">
                    <c:v>All</c:v>
                  </c:pt>
                  <c:pt idx="8">
                    <c:v>All</c:v>
                  </c:pt>
                </c:lvl>
                <c:lvl>
                  <c:pt idx="0">
                    <c:v>ZS3-Full-4.1m-15.04.26</c:v>
                  </c:pt>
                  <c:pt idx="1">
                    <c:v>ZS8-Full-Gemini2.5-flash-27.05.</c:v>
                  </c:pt>
                  <c:pt idx="2">
                    <c:v>ZS9-Full-Gemini3.1-pro-27.05.26</c:v>
                  </c:pt>
                  <c:pt idx="3">
                    <c:v>ZS12-Full-4.1m-27.05.26</c:v>
                  </c:pt>
                  <c:pt idx="4">
                    <c:v>ZS11-Full-Gemini-2.5-flash-27.0</c:v>
                  </c:pt>
                  <c:pt idx="5">
                    <c:v>ZS13-Full-Gemini-3.1-Pro-27.05.</c:v>
                  </c:pt>
                  <c:pt idx="6">
                    <c:v>FS3-Full-4.1m-08.04.26</c:v>
                  </c:pt>
                  <c:pt idx="7">
                    <c:v>FS8-Full-Gemini-2.5-flash-27.05</c:v>
                  </c:pt>
                  <c:pt idx="8">
                    <c:v>FS6-Full-Gemini3.1-pro-25.04.26</c:v>
                  </c:pt>
                </c:lvl>
                <c:lvl>
                  <c:pt idx="0">
                    <c:v>V3 Zero Shot GPT 4.1m</c:v>
                  </c:pt>
                  <c:pt idx="1">
                    <c:v>V8 Zero Shot Gemini 2.5 Flash</c:v>
                  </c:pt>
                  <c:pt idx="2">
                    <c:v>V9 Zero Shot Gemini 3.1 Pro</c:v>
                  </c:pt>
                  <c:pt idx="3">
                    <c:v>V12 Zero Shot LLM Fairness GPT 4.1m</c:v>
                  </c:pt>
                  <c:pt idx="4">
                    <c:v>V11 Zero Shot LLM Fairness Gemini 2.5 Flash</c:v>
                  </c:pt>
                  <c:pt idx="5">
                    <c:v>V13 Zero Shot LLM Fairness Gemini 3.1 Pro</c:v>
                  </c:pt>
                  <c:pt idx="6">
                    <c:v>V3 Few Shot GPT 4.1m</c:v>
                  </c:pt>
                  <c:pt idx="7">
                    <c:v>V8 Few Shot Gemini 2.5 Flash</c:v>
                  </c:pt>
                  <c:pt idx="8">
                    <c:v>V6 Few Shot Gemini 3.1 Pro</c:v>
                  </c:pt>
                </c:lvl>
              </c:multiLvlStrCache>
            </c:multiLvlStrRef>
          </c:cat>
          <c:val>
            <c:numRef>
              <c:f>Main!$G$45:$G$61</c:f>
              <c:numCache>
                <c:formatCode>0%</c:formatCode>
                <c:ptCount val="9"/>
                <c:pt idx="0">
                  <c:v>0.53627000000000002</c:v>
                </c:pt>
                <c:pt idx="1">
                  <c:v>0.67820000000000003</c:v>
                </c:pt>
                <c:pt idx="2">
                  <c:v>0.71753</c:v>
                </c:pt>
                <c:pt idx="3">
                  <c:v>0.44107000000000002</c:v>
                </c:pt>
                <c:pt idx="4">
                  <c:v>0.57518000000000002</c:v>
                </c:pt>
                <c:pt idx="5">
                  <c:v>0.63136000000000003</c:v>
                </c:pt>
                <c:pt idx="6">
                  <c:v>0.65973000000000004</c:v>
                </c:pt>
                <c:pt idx="7">
                  <c:v>0.70030000000000003</c:v>
                </c:pt>
                <c:pt idx="8">
                  <c:v>0.73928000000000005</c:v>
                </c:pt>
              </c:numCache>
            </c:numRef>
          </c:val>
          <c:smooth val="0"/>
          <c:extLst>
            <c:ext xmlns:c16="http://schemas.microsoft.com/office/drawing/2014/chart" uri="{C3380CC4-5D6E-409C-BE32-E72D297353CC}">
              <c16:uniqueId val="{00000002-E438-4F22-AE18-7141D970B103}"/>
            </c:ext>
          </c:extLst>
        </c:ser>
        <c:ser>
          <c:idx val="3"/>
          <c:order val="3"/>
          <c:tx>
            <c:strRef>
              <c:f>Main!$H$1</c:f>
              <c:strCache>
                <c:ptCount val="1"/>
                <c:pt idx="0">
                  <c:v>F1 Micro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Main!$B$45:$D$61</c:f>
              <c:multiLvlStrCache>
                <c:ptCount val="9"/>
                <c:lvl>
                  <c:pt idx="0">
                    <c:v>All</c:v>
                  </c:pt>
                  <c:pt idx="1">
                    <c:v>All</c:v>
                  </c:pt>
                  <c:pt idx="2">
                    <c:v>All</c:v>
                  </c:pt>
                  <c:pt idx="3">
                    <c:v>All</c:v>
                  </c:pt>
                  <c:pt idx="4">
                    <c:v>All</c:v>
                  </c:pt>
                  <c:pt idx="5">
                    <c:v>All</c:v>
                  </c:pt>
                  <c:pt idx="6">
                    <c:v>All</c:v>
                  </c:pt>
                  <c:pt idx="7">
                    <c:v>All</c:v>
                  </c:pt>
                  <c:pt idx="8">
                    <c:v>All</c:v>
                  </c:pt>
                </c:lvl>
                <c:lvl>
                  <c:pt idx="0">
                    <c:v>ZS3-Full-4.1m-15.04.26</c:v>
                  </c:pt>
                  <c:pt idx="1">
                    <c:v>ZS8-Full-Gemini2.5-flash-27.05.</c:v>
                  </c:pt>
                  <c:pt idx="2">
                    <c:v>ZS9-Full-Gemini3.1-pro-27.05.26</c:v>
                  </c:pt>
                  <c:pt idx="3">
                    <c:v>ZS12-Full-4.1m-27.05.26</c:v>
                  </c:pt>
                  <c:pt idx="4">
                    <c:v>ZS11-Full-Gemini-2.5-flash-27.0</c:v>
                  </c:pt>
                  <c:pt idx="5">
                    <c:v>ZS13-Full-Gemini-3.1-Pro-27.05.</c:v>
                  </c:pt>
                  <c:pt idx="6">
                    <c:v>FS3-Full-4.1m-08.04.26</c:v>
                  </c:pt>
                  <c:pt idx="7">
                    <c:v>FS8-Full-Gemini-2.5-flash-27.05</c:v>
                  </c:pt>
                  <c:pt idx="8">
                    <c:v>FS6-Full-Gemini3.1-pro-25.04.26</c:v>
                  </c:pt>
                </c:lvl>
                <c:lvl>
                  <c:pt idx="0">
                    <c:v>V3 Zero Shot GPT 4.1m</c:v>
                  </c:pt>
                  <c:pt idx="1">
                    <c:v>V8 Zero Shot Gemini 2.5 Flash</c:v>
                  </c:pt>
                  <c:pt idx="2">
                    <c:v>V9 Zero Shot Gemini 3.1 Pro</c:v>
                  </c:pt>
                  <c:pt idx="3">
                    <c:v>V12 Zero Shot LLM Fairness GPT 4.1m</c:v>
                  </c:pt>
                  <c:pt idx="4">
                    <c:v>V11 Zero Shot LLM Fairness Gemini 2.5 Flash</c:v>
                  </c:pt>
                  <c:pt idx="5">
                    <c:v>V13 Zero Shot LLM Fairness Gemini 3.1 Pro</c:v>
                  </c:pt>
                  <c:pt idx="6">
                    <c:v>V3 Few Shot GPT 4.1m</c:v>
                  </c:pt>
                  <c:pt idx="7">
                    <c:v>V8 Few Shot Gemini 2.5 Flash</c:v>
                  </c:pt>
                  <c:pt idx="8">
                    <c:v>V6 Few Shot Gemini 3.1 Pro</c:v>
                  </c:pt>
                </c:lvl>
              </c:multiLvlStrCache>
            </c:multiLvlStrRef>
          </c:cat>
          <c:val>
            <c:numRef>
              <c:f>Main!$H$45:$H$61</c:f>
            </c:numRef>
          </c:val>
          <c:smooth val="0"/>
          <c:extLst>
            <c:ext xmlns:c16="http://schemas.microsoft.com/office/drawing/2014/chart" uri="{C3380CC4-5D6E-409C-BE32-E72D297353CC}">
              <c16:uniqueId val="{00000003-E438-4F22-AE18-7141D970B103}"/>
            </c:ext>
          </c:extLst>
        </c:ser>
        <c:dLbls>
          <c:showLegendKey val="0"/>
          <c:showVal val="0"/>
          <c:showCatName val="0"/>
          <c:showSerName val="0"/>
          <c:showPercent val="0"/>
          <c:showBubbleSize val="0"/>
        </c:dLbls>
        <c:marker val="1"/>
        <c:smooth val="0"/>
        <c:axId val="1354670031"/>
        <c:axId val="1354668111"/>
      </c:lineChart>
      <c:catAx>
        <c:axId val="135467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668111"/>
        <c:crosses val="autoZero"/>
        <c:auto val="1"/>
        <c:lblAlgn val="ctr"/>
        <c:lblOffset val="100"/>
        <c:noMultiLvlLbl val="0"/>
      </c:catAx>
      <c:valAx>
        <c:axId val="1354668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67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AU" sz="2000" b="1"/>
              <a:t>Inference Approach </a:t>
            </a:r>
            <a:r>
              <a:rPr lang="en-AU" sz="2000" b="1" baseline="0"/>
              <a:t>vs Model Type</a:t>
            </a:r>
            <a:endParaRPr lang="en-AU"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9.413700078321155E-2"/>
          <c:y val="0.12044756439343388"/>
          <c:w val="0.88948968771453707"/>
          <c:h val="0.75460766048311756"/>
        </c:manualLayout>
      </c:layout>
      <c:lineChart>
        <c:grouping val="standard"/>
        <c:varyColors val="0"/>
        <c:ser>
          <c:idx val="0"/>
          <c:order val="0"/>
          <c:tx>
            <c:strRef>
              <c:f>Graphs!$T$3</c:f>
              <c:strCache>
                <c:ptCount val="1"/>
                <c:pt idx="0">
                  <c:v>GPT 4.1m</c:v>
                </c:pt>
              </c:strCache>
            </c:strRef>
          </c:tx>
          <c:spPr>
            <a:ln w="15875" cap="rnd">
              <a:solidFill>
                <a:schemeClr val="accent1"/>
              </a:solidFill>
              <a:round/>
            </a:ln>
            <a:effectLst/>
          </c:spPr>
          <c:marker>
            <c:symbol val="circle"/>
            <c:size val="10"/>
            <c:spPr>
              <a:solidFill>
                <a:schemeClr val="accent1"/>
              </a:solidFill>
              <a:ln w="9525">
                <a:solidFill>
                  <a:schemeClr val="accent1"/>
                </a:solidFill>
              </a:ln>
              <a:effectLst/>
            </c:spPr>
          </c:marker>
          <c:dLbls>
            <c:dLbl>
              <c:idx val="2"/>
              <c:layout>
                <c:manualLayout>
                  <c:x val="-1.7646304240623217E-2"/>
                  <c:y val="2.9810222874683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2A-4D6F-AF31-E810BD035333}"/>
                </c:ext>
              </c:extLst>
            </c:dLbl>
            <c:dLbl>
              <c:idx val="3"/>
              <c:layout>
                <c:manualLayout>
                  <c:x val="-3.2382284592649413E-2"/>
                  <c:y val="-4.06982517015881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2A-4D6F-AF31-E810BD0353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Graphs!$S$4:$S$7</c:f>
              <c:strCache>
                <c:ptCount val="4"/>
                <c:pt idx="0">
                  <c:v>Zero Shot LLM Fairness</c:v>
                </c:pt>
                <c:pt idx="1">
                  <c:v>Zero Shot Prompting</c:v>
                </c:pt>
                <c:pt idx="2">
                  <c:v>Few Shot Prompting</c:v>
                </c:pt>
                <c:pt idx="3">
                  <c:v>Fined Tuned</c:v>
                </c:pt>
              </c:strCache>
            </c:strRef>
          </c:cat>
          <c:val>
            <c:numRef>
              <c:f>Graphs!$T$4:$T$7</c:f>
              <c:numCache>
                <c:formatCode>0%</c:formatCode>
                <c:ptCount val="4"/>
                <c:pt idx="0">
                  <c:v>0.44107000000000002</c:v>
                </c:pt>
                <c:pt idx="1">
                  <c:v>0.53627000000000002</c:v>
                </c:pt>
                <c:pt idx="2">
                  <c:v>0.65973000000000004</c:v>
                </c:pt>
                <c:pt idx="3">
                  <c:v>0.83037000000000005</c:v>
                </c:pt>
              </c:numCache>
            </c:numRef>
          </c:val>
          <c:smooth val="0"/>
          <c:extLst>
            <c:ext xmlns:c16="http://schemas.microsoft.com/office/drawing/2014/chart" uri="{C3380CC4-5D6E-409C-BE32-E72D297353CC}">
              <c16:uniqueId val="{00000000-B52A-4D6F-AF31-E810BD035333}"/>
            </c:ext>
          </c:extLst>
        </c:ser>
        <c:ser>
          <c:idx val="1"/>
          <c:order val="1"/>
          <c:tx>
            <c:strRef>
              <c:f>Graphs!$U$3</c:f>
              <c:strCache>
                <c:ptCount val="1"/>
                <c:pt idx="0">
                  <c:v>Gemini 2.5 Flash</c:v>
                </c:pt>
              </c:strCache>
            </c:strRef>
          </c:tx>
          <c:spPr>
            <a:ln w="15875" cap="rnd">
              <a:solidFill>
                <a:srgbClr val="00B050"/>
              </a:solidFill>
              <a:round/>
            </a:ln>
            <a:effectLst/>
          </c:spPr>
          <c:marker>
            <c:symbol val="circle"/>
            <c:size val="10"/>
            <c:spPr>
              <a:solidFill>
                <a:srgbClr val="00B050"/>
              </a:solidFill>
              <a:ln w="9525">
                <a:noFill/>
              </a:ln>
              <a:effectLst/>
            </c:spPr>
          </c:marker>
          <c:dLbls>
            <c:dLbl>
              <c:idx val="2"/>
              <c:layout>
                <c:manualLayout>
                  <c:x val="-4.7118264944675609E-2"/>
                  <c:y val="2.16746296543440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2A-4D6F-AF31-E810BD0353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Graphs!$S$4:$S$7</c:f>
              <c:strCache>
                <c:ptCount val="4"/>
                <c:pt idx="0">
                  <c:v>Zero Shot LLM Fairness</c:v>
                </c:pt>
                <c:pt idx="1">
                  <c:v>Zero Shot Prompting</c:v>
                </c:pt>
                <c:pt idx="2">
                  <c:v>Few Shot Prompting</c:v>
                </c:pt>
                <c:pt idx="3">
                  <c:v>Fined Tuned</c:v>
                </c:pt>
              </c:strCache>
            </c:strRef>
          </c:cat>
          <c:val>
            <c:numRef>
              <c:f>Graphs!$U$4:$U$7</c:f>
              <c:numCache>
                <c:formatCode>0%</c:formatCode>
                <c:ptCount val="4"/>
                <c:pt idx="0">
                  <c:v>0.57518000000000002</c:v>
                </c:pt>
                <c:pt idx="1">
                  <c:v>0.67820000000000003</c:v>
                </c:pt>
                <c:pt idx="2">
                  <c:v>0.70030000000000003</c:v>
                </c:pt>
                <c:pt idx="3">
                  <c:v>0.80666000000000004</c:v>
                </c:pt>
              </c:numCache>
            </c:numRef>
          </c:val>
          <c:smooth val="0"/>
          <c:extLst>
            <c:ext xmlns:c16="http://schemas.microsoft.com/office/drawing/2014/chart" uri="{C3380CC4-5D6E-409C-BE32-E72D297353CC}">
              <c16:uniqueId val="{00000001-B52A-4D6F-AF31-E810BD035333}"/>
            </c:ext>
          </c:extLst>
        </c:ser>
        <c:ser>
          <c:idx val="2"/>
          <c:order val="2"/>
          <c:tx>
            <c:strRef>
              <c:f>Graphs!$V$3</c:f>
              <c:strCache>
                <c:ptCount val="1"/>
                <c:pt idx="0">
                  <c:v>Gemini 3.1 Pro</c:v>
                </c:pt>
              </c:strCache>
            </c:strRef>
          </c:tx>
          <c:spPr>
            <a:ln w="15875" cap="rnd">
              <a:solidFill>
                <a:srgbClr val="FF0000"/>
              </a:solidFill>
              <a:round/>
            </a:ln>
            <a:effectLst/>
          </c:spPr>
          <c:marker>
            <c:symbol val="circle"/>
            <c:size val="10"/>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Graphs!$S$4:$S$7</c:f>
              <c:strCache>
                <c:ptCount val="4"/>
                <c:pt idx="0">
                  <c:v>Zero Shot LLM Fairness</c:v>
                </c:pt>
                <c:pt idx="1">
                  <c:v>Zero Shot Prompting</c:v>
                </c:pt>
                <c:pt idx="2">
                  <c:v>Few Shot Prompting</c:v>
                </c:pt>
                <c:pt idx="3">
                  <c:v>Fined Tuned</c:v>
                </c:pt>
              </c:strCache>
            </c:strRef>
          </c:cat>
          <c:val>
            <c:numRef>
              <c:f>Graphs!$V$4:$V$6</c:f>
              <c:numCache>
                <c:formatCode>0%</c:formatCode>
                <c:ptCount val="3"/>
                <c:pt idx="0">
                  <c:v>0.63136000000000003</c:v>
                </c:pt>
                <c:pt idx="1">
                  <c:v>0.71753</c:v>
                </c:pt>
                <c:pt idx="2">
                  <c:v>0.73928000000000005</c:v>
                </c:pt>
              </c:numCache>
            </c:numRef>
          </c:val>
          <c:smooth val="0"/>
          <c:extLst>
            <c:ext xmlns:c16="http://schemas.microsoft.com/office/drawing/2014/chart" uri="{C3380CC4-5D6E-409C-BE32-E72D297353CC}">
              <c16:uniqueId val="{00000002-B52A-4D6F-AF31-E810BD035333}"/>
            </c:ext>
          </c:extLst>
        </c:ser>
        <c:dLbls>
          <c:dLblPos val="t"/>
          <c:showLegendKey val="0"/>
          <c:showVal val="1"/>
          <c:showCatName val="0"/>
          <c:showSerName val="0"/>
          <c:showPercent val="0"/>
          <c:showBubbleSize val="0"/>
        </c:dLbls>
        <c:marker val="1"/>
        <c:smooth val="0"/>
        <c:axId val="56482303"/>
        <c:axId val="56499103"/>
      </c:lineChart>
      <c:catAx>
        <c:axId val="5648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6499103"/>
        <c:crosses val="autoZero"/>
        <c:auto val="1"/>
        <c:lblAlgn val="ctr"/>
        <c:lblOffset val="100"/>
        <c:noMultiLvlLbl val="0"/>
      </c:catAx>
      <c:valAx>
        <c:axId val="56499103"/>
        <c:scaling>
          <c:orientation val="minMax"/>
          <c:max val="0.9"/>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AU" sz="1400" b="1"/>
                  <a:t>F1 Score</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2303"/>
        <c:crosses val="autoZero"/>
        <c:crossBetween val="between"/>
      </c:valAx>
      <c:spPr>
        <a:noFill/>
        <a:ln>
          <a:noFill/>
        </a:ln>
        <a:effectLst/>
      </c:spPr>
    </c:plotArea>
    <c:legend>
      <c:legendPos val="r"/>
      <c:layout>
        <c:manualLayout>
          <c:xMode val="edge"/>
          <c:yMode val="edge"/>
          <c:x val="0.74353631297520473"/>
          <c:y val="0.60954533564660351"/>
          <c:w val="0.18366820193321107"/>
          <c:h val="0.1668084879220606"/>
        </c:manualLayout>
      </c:layout>
      <c:overlay val="0"/>
      <c:spPr>
        <a:solidFill>
          <a:schemeClr val="bg1"/>
        </a:solidFill>
        <a:ln>
          <a:solidFill>
            <a:schemeClr val="tx1"/>
          </a:solid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1"/>
          <c:order val="0"/>
          <c:tx>
            <c:strRef>
              <c:f>Main!$G$1</c:f>
              <c:strCache>
                <c:ptCount val="1"/>
                <c:pt idx="0">
                  <c:v>F1</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Main!$B$65:$B$87</c:f>
              <c:strCache>
                <c:ptCount val="8"/>
                <c:pt idx="0">
                  <c:v>Fine Tunned GPT 4.1m</c:v>
                </c:pt>
                <c:pt idx="1">
                  <c:v>Fine Tunned Gemini-2.5-flash</c:v>
                </c:pt>
                <c:pt idx="2">
                  <c:v>Zero Shot 4.1m</c:v>
                </c:pt>
                <c:pt idx="3">
                  <c:v>V8 Zero Shot Gemini 2.5 Flash</c:v>
                </c:pt>
                <c:pt idx="4">
                  <c:v>V9 Zero Shot Gemini 3.1 Pro</c:v>
                </c:pt>
                <c:pt idx="5">
                  <c:v>V3 Few Shot 4.1m</c:v>
                </c:pt>
                <c:pt idx="6">
                  <c:v>V6 Few Shot Gemini 3.1 Pro</c:v>
                </c:pt>
                <c:pt idx="7">
                  <c:v>V8 Few Shot Gemini 2.5 Flash</c:v>
                </c:pt>
              </c:strCache>
            </c:strRef>
          </c:cat>
          <c:val>
            <c:numRef>
              <c:f>Main!$G$65:$G$87</c:f>
              <c:numCache>
                <c:formatCode>0%</c:formatCode>
                <c:ptCount val="8"/>
                <c:pt idx="0">
                  <c:v>0.75609999999999999</c:v>
                </c:pt>
                <c:pt idx="1">
                  <c:v>0.69767000000000001</c:v>
                </c:pt>
                <c:pt idx="2">
                  <c:v>0.45333000000000001</c:v>
                </c:pt>
                <c:pt idx="3">
                  <c:v>0.57626999999999995</c:v>
                </c:pt>
                <c:pt idx="4">
                  <c:v>0.57943999999999996</c:v>
                </c:pt>
                <c:pt idx="5">
                  <c:v>0.53968000000000005</c:v>
                </c:pt>
                <c:pt idx="6">
                  <c:v>0.58586000000000005</c:v>
                </c:pt>
                <c:pt idx="7">
                  <c:v>0.54264000000000001</c:v>
                </c:pt>
              </c:numCache>
            </c:numRef>
          </c:val>
          <c:extLst>
            <c:ext xmlns:c16="http://schemas.microsoft.com/office/drawing/2014/chart" uri="{C3380CC4-5D6E-409C-BE32-E72D297353CC}">
              <c16:uniqueId val="{00000001-4DB6-4096-A81E-3CEA465DEE8C}"/>
            </c:ext>
          </c:extLst>
        </c:ser>
        <c:dLbls>
          <c:showLegendKey val="0"/>
          <c:showVal val="0"/>
          <c:showCatName val="0"/>
          <c:showSerName val="0"/>
          <c:showPercent val="0"/>
          <c:showBubbleSize val="0"/>
        </c:dLbls>
        <c:axId val="1573824655"/>
        <c:axId val="1573830415"/>
      </c:radarChart>
      <c:catAx>
        <c:axId val="157382465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n-US"/>
          </a:p>
        </c:txPr>
        <c:crossAx val="1573830415"/>
        <c:crosses val="autoZero"/>
        <c:auto val="1"/>
        <c:lblAlgn val="ctr"/>
        <c:lblOffset val="100"/>
        <c:noMultiLvlLbl val="0"/>
      </c:catAx>
      <c:valAx>
        <c:axId val="1573830415"/>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7382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1"/>
          <c:order val="0"/>
          <c:tx>
            <c:strRef>
              <c:f>Main!$G$1</c:f>
              <c:strCache>
                <c:ptCount val="1"/>
                <c:pt idx="0">
                  <c:v>F1</c:v>
                </c:pt>
              </c:strCache>
            </c:strRef>
          </c:tx>
          <c:spPr>
            <a:solidFill>
              <a:schemeClr val="accent2"/>
            </a:solidFill>
            <a:ln>
              <a:noFill/>
            </a:ln>
            <a:effectLst/>
          </c:spPr>
          <c:cat>
            <c:strRef>
              <c:f>Main!$B$90:$B$112</c:f>
              <c:strCache>
                <c:ptCount val="23"/>
                <c:pt idx="0">
                  <c:v>Fine Tunned GPT 4.1m</c:v>
                </c:pt>
                <c:pt idx="1">
                  <c:v>Fine Tunned Gemini-2.5-flash</c:v>
                </c:pt>
                <c:pt idx="2">
                  <c:v>V1 Zero Shot 4.1m</c:v>
                </c:pt>
                <c:pt idx="3">
                  <c:v>V2 Zero Shot 4.1m</c:v>
                </c:pt>
                <c:pt idx="4">
                  <c:v>V3 Zero Shot 5.4n</c:v>
                </c:pt>
                <c:pt idx="5">
                  <c:v>V3 Zero Shot 4.1m</c:v>
                </c:pt>
                <c:pt idx="6">
                  <c:v>V4 Zero Shot 5.4n</c:v>
                </c:pt>
                <c:pt idx="7">
                  <c:v>V5 Zero Shot 5.4n</c:v>
                </c:pt>
                <c:pt idx="8">
                  <c:v>V6 Zero Shot 5.4n</c:v>
                </c:pt>
                <c:pt idx="9">
                  <c:v>V7 Zero Shot 5.4n</c:v>
                </c:pt>
                <c:pt idx="10">
                  <c:v>V8 Zero Shot Gemini 2.5 Flash</c:v>
                </c:pt>
                <c:pt idx="11">
                  <c:v>V9 Zero Shot Gemini 3.1 Pro</c:v>
                </c:pt>
                <c:pt idx="12">
                  <c:v>V11 Zero Shot Gemini 2.5 Flash</c:v>
                </c:pt>
                <c:pt idx="13">
                  <c:v>V12 Zero Shot GPT 4.1m</c:v>
                </c:pt>
                <c:pt idx="14">
                  <c:v>V13 Zero Shot Gemini 3.1 Pro</c:v>
                </c:pt>
                <c:pt idx="15">
                  <c:v>V1 Few Shot 4.1m</c:v>
                </c:pt>
                <c:pt idx="16">
                  <c:v>V2 Few Shot 4.1m</c:v>
                </c:pt>
                <c:pt idx="17">
                  <c:v>V3 Few Shot 4.1m</c:v>
                </c:pt>
                <c:pt idx="18">
                  <c:v>V4 Few Shot 5.4n</c:v>
                </c:pt>
                <c:pt idx="19">
                  <c:v>V5 Few Shot Gemini-3-flash-preview</c:v>
                </c:pt>
                <c:pt idx="20">
                  <c:v>V6 Few Shot Gemini 3.1 Pro</c:v>
                </c:pt>
                <c:pt idx="21">
                  <c:v>V7 Few Shot 4.1m</c:v>
                </c:pt>
                <c:pt idx="22">
                  <c:v>V8 Few Shot Gemini 2.5 Flash</c:v>
                </c:pt>
              </c:strCache>
            </c:strRef>
          </c:cat>
          <c:val>
            <c:numRef>
              <c:f>Main!$G$90:$G$112</c:f>
              <c:numCache>
                <c:formatCode>0%</c:formatCode>
                <c:ptCount val="23"/>
                <c:pt idx="0">
                  <c:v>0.77332999999999996</c:v>
                </c:pt>
                <c:pt idx="1">
                  <c:v>0.72526999999999997</c:v>
                </c:pt>
                <c:pt idx="2">
                  <c:v>0.59523999999999999</c:v>
                </c:pt>
                <c:pt idx="3">
                  <c:v>0.49180000000000001</c:v>
                </c:pt>
                <c:pt idx="4">
                  <c:v>0.57576000000000005</c:v>
                </c:pt>
                <c:pt idx="5">
                  <c:v>0.45205000000000001</c:v>
                </c:pt>
                <c:pt idx="6">
                  <c:v>0.48819000000000001</c:v>
                </c:pt>
                <c:pt idx="7">
                  <c:v>0.59770000000000001</c:v>
                </c:pt>
                <c:pt idx="8">
                  <c:v>0.62365999999999999</c:v>
                </c:pt>
                <c:pt idx="9">
                  <c:v>0.62068999999999996</c:v>
                </c:pt>
                <c:pt idx="10">
                  <c:v>0.65115999999999996</c:v>
                </c:pt>
                <c:pt idx="11">
                  <c:v>0.71738999999999997</c:v>
                </c:pt>
                <c:pt idx="12">
                  <c:v>0.67500000000000004</c:v>
                </c:pt>
                <c:pt idx="13">
                  <c:v>0.54866999999999999</c:v>
                </c:pt>
                <c:pt idx="14">
                  <c:v>0.72092999999999996</c:v>
                </c:pt>
                <c:pt idx="15">
                  <c:v>0.71111000000000002</c:v>
                </c:pt>
                <c:pt idx="16">
                  <c:v>0.69564999999999999</c:v>
                </c:pt>
                <c:pt idx="17">
                  <c:v>0.59321999999999997</c:v>
                </c:pt>
                <c:pt idx="18">
                  <c:v>0.55384999999999995</c:v>
                </c:pt>
                <c:pt idx="19">
                  <c:v>0.65385000000000004</c:v>
                </c:pt>
                <c:pt idx="20">
                  <c:v>0.77419000000000004</c:v>
                </c:pt>
                <c:pt idx="21">
                  <c:v>0.36634</c:v>
                </c:pt>
                <c:pt idx="22">
                  <c:v>0.72092999999999996</c:v>
                </c:pt>
              </c:numCache>
            </c:numRef>
          </c:val>
          <c:extLst>
            <c:ext xmlns:c16="http://schemas.microsoft.com/office/drawing/2014/chart" uri="{C3380CC4-5D6E-409C-BE32-E72D297353CC}">
              <c16:uniqueId val="{00000001-5418-400A-869B-35AC1731A305}"/>
            </c:ext>
          </c:extLst>
        </c:ser>
        <c:dLbls>
          <c:showLegendKey val="0"/>
          <c:showVal val="0"/>
          <c:showCatName val="0"/>
          <c:showSerName val="0"/>
          <c:showPercent val="0"/>
          <c:showBubbleSize val="0"/>
        </c:dLbls>
        <c:axId val="1564601871"/>
        <c:axId val="1564599471"/>
      </c:radarChart>
      <c:catAx>
        <c:axId val="156460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599471"/>
        <c:crosses val="autoZero"/>
        <c:auto val="1"/>
        <c:lblAlgn val="ctr"/>
        <c:lblOffset val="100"/>
        <c:noMultiLvlLbl val="0"/>
      </c:catAx>
      <c:valAx>
        <c:axId val="1564599471"/>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64601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1"/>
          <c:order val="0"/>
          <c:tx>
            <c:strRef>
              <c:f>Main!$G$1</c:f>
              <c:strCache>
                <c:ptCount val="1"/>
                <c:pt idx="0">
                  <c:v>F1</c:v>
                </c:pt>
              </c:strCache>
            </c:strRef>
          </c:tx>
          <c:spPr>
            <a:solidFill>
              <a:schemeClr val="accent2"/>
            </a:solidFill>
            <a:ln>
              <a:noFill/>
            </a:ln>
            <a:effectLst/>
          </c:spPr>
          <c:cat>
            <c:strRef>
              <c:f>Main!$B$115:$B$137</c:f>
              <c:strCache>
                <c:ptCount val="23"/>
                <c:pt idx="0">
                  <c:v>Fine Tunned GPT 4.1m</c:v>
                </c:pt>
                <c:pt idx="1">
                  <c:v>Fine Tunned Gemini-2.5-flash</c:v>
                </c:pt>
                <c:pt idx="2">
                  <c:v>V1 Zero Shot 4.1m</c:v>
                </c:pt>
                <c:pt idx="3">
                  <c:v>V2 Zero Shot 4.1m</c:v>
                </c:pt>
                <c:pt idx="4">
                  <c:v>V3 Zero Shot 5.4n</c:v>
                </c:pt>
                <c:pt idx="5">
                  <c:v>V3 Zero Shot 4.1m</c:v>
                </c:pt>
                <c:pt idx="6">
                  <c:v>V4 Zero Shot 5.4n</c:v>
                </c:pt>
                <c:pt idx="7">
                  <c:v>V5 Zero Shot 5.4n</c:v>
                </c:pt>
                <c:pt idx="8">
                  <c:v>V6 Zero Shot 5.4n</c:v>
                </c:pt>
                <c:pt idx="9">
                  <c:v>V7 Zero Shot 5.4n</c:v>
                </c:pt>
                <c:pt idx="10">
                  <c:v>V8 Zero Shot Gemini 2.5 Flash</c:v>
                </c:pt>
                <c:pt idx="11">
                  <c:v>V9 Zero Shot Gemini 3.1 Pro</c:v>
                </c:pt>
                <c:pt idx="12">
                  <c:v>V11 Zero Shot Gemini 2.5 Flash</c:v>
                </c:pt>
                <c:pt idx="13">
                  <c:v>V12 Zero Shot GPT 4.1m</c:v>
                </c:pt>
                <c:pt idx="14">
                  <c:v>V13 Zero Shot Gemini 3.1 Pro</c:v>
                </c:pt>
                <c:pt idx="15">
                  <c:v>V1 Few Shot 4.1m</c:v>
                </c:pt>
                <c:pt idx="16">
                  <c:v>V2 Few Shot 4.1m</c:v>
                </c:pt>
                <c:pt idx="17">
                  <c:v>V3 Few Shot 4.1m</c:v>
                </c:pt>
                <c:pt idx="18">
                  <c:v>V4 Few Shot 5.4n</c:v>
                </c:pt>
                <c:pt idx="19">
                  <c:v>V5 Few Shot Gemini-3-flash-preview</c:v>
                </c:pt>
                <c:pt idx="20">
                  <c:v>V6 Few Shot Gemini 3.1 Pro</c:v>
                </c:pt>
                <c:pt idx="21">
                  <c:v>V7 Few Shot 4.1m</c:v>
                </c:pt>
                <c:pt idx="22">
                  <c:v>V8 Few Shot Gemini 2.5 Flash</c:v>
                </c:pt>
              </c:strCache>
            </c:strRef>
          </c:cat>
          <c:val>
            <c:numRef>
              <c:f>Main!$G$115:$G$137</c:f>
              <c:numCache>
                <c:formatCode>0%</c:formatCode>
                <c:ptCount val="23"/>
                <c:pt idx="0">
                  <c:v>0.77142999999999995</c:v>
                </c:pt>
                <c:pt idx="1">
                  <c:v>0.74156999999999995</c:v>
                </c:pt>
                <c:pt idx="2">
                  <c:v>0.47692000000000001</c:v>
                </c:pt>
                <c:pt idx="3">
                  <c:v>0.42336000000000001</c:v>
                </c:pt>
                <c:pt idx="4">
                  <c:v>0.54737000000000002</c:v>
                </c:pt>
                <c:pt idx="5">
                  <c:v>0.48076999999999998</c:v>
                </c:pt>
                <c:pt idx="6">
                  <c:v>0.42499999999999999</c:v>
                </c:pt>
                <c:pt idx="7">
                  <c:v>0.46268999999999999</c:v>
                </c:pt>
                <c:pt idx="8">
                  <c:v>0.49206</c:v>
                </c:pt>
                <c:pt idx="9">
                  <c:v>0.51282000000000005</c:v>
                </c:pt>
                <c:pt idx="10">
                  <c:v>0.6</c:v>
                </c:pt>
                <c:pt idx="11">
                  <c:v>0.63461999999999996</c:v>
                </c:pt>
                <c:pt idx="12">
                  <c:v>0.52712999999999999</c:v>
                </c:pt>
                <c:pt idx="13">
                  <c:v>0.40278000000000003</c:v>
                </c:pt>
                <c:pt idx="14">
                  <c:v>0.55357000000000001</c:v>
                </c:pt>
                <c:pt idx="15">
                  <c:v>0.59770000000000001</c:v>
                </c:pt>
                <c:pt idx="16">
                  <c:v>0.58140000000000003</c:v>
                </c:pt>
                <c:pt idx="17">
                  <c:v>0.57142999999999999</c:v>
                </c:pt>
                <c:pt idx="18">
                  <c:v>0.58065</c:v>
                </c:pt>
                <c:pt idx="19">
                  <c:v>0.54054000000000002</c:v>
                </c:pt>
                <c:pt idx="20">
                  <c:v>0.65263000000000004</c:v>
                </c:pt>
                <c:pt idx="21">
                  <c:v>0.42857000000000001</c:v>
                </c:pt>
                <c:pt idx="22">
                  <c:v>0.61111000000000004</c:v>
                </c:pt>
              </c:numCache>
            </c:numRef>
          </c:val>
          <c:extLst>
            <c:ext xmlns:c16="http://schemas.microsoft.com/office/drawing/2014/chart" uri="{C3380CC4-5D6E-409C-BE32-E72D297353CC}">
              <c16:uniqueId val="{00000001-FB75-4695-94A8-76CA1AF09F0F}"/>
            </c:ext>
          </c:extLst>
        </c:ser>
        <c:dLbls>
          <c:showLegendKey val="0"/>
          <c:showVal val="0"/>
          <c:showCatName val="0"/>
          <c:showSerName val="0"/>
          <c:showPercent val="0"/>
          <c:showBubbleSize val="0"/>
        </c:dLbls>
        <c:axId val="164314111"/>
        <c:axId val="164317471"/>
      </c:radarChart>
      <c:catAx>
        <c:axId val="16431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7471"/>
        <c:crosses val="autoZero"/>
        <c:auto val="1"/>
        <c:lblAlgn val="ctr"/>
        <c:lblOffset val="100"/>
        <c:noMultiLvlLbl val="0"/>
      </c:catAx>
      <c:valAx>
        <c:axId val="164317471"/>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43141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1"/>
          <c:order val="0"/>
          <c:tx>
            <c:strRef>
              <c:f>Main!$G$1</c:f>
              <c:strCache>
                <c:ptCount val="1"/>
                <c:pt idx="0">
                  <c:v>F1</c:v>
                </c:pt>
              </c:strCache>
            </c:strRef>
          </c:tx>
          <c:spPr>
            <a:solidFill>
              <a:schemeClr val="accent2"/>
            </a:solidFill>
            <a:ln>
              <a:noFill/>
            </a:ln>
            <a:effectLst/>
          </c:spPr>
          <c:cat>
            <c:strRef>
              <c:f>Main!$B$140:$B$162</c:f>
              <c:strCache>
                <c:ptCount val="23"/>
                <c:pt idx="0">
                  <c:v>Fine Tunned GPT 4.1m</c:v>
                </c:pt>
                <c:pt idx="1">
                  <c:v>Fine Tunned Gemini-2.5-flash</c:v>
                </c:pt>
                <c:pt idx="2">
                  <c:v>V1 Zero Shot 4.1m</c:v>
                </c:pt>
                <c:pt idx="3">
                  <c:v>V2 Zero Shot 4.1m</c:v>
                </c:pt>
                <c:pt idx="4">
                  <c:v>V3 Zero Shot 5.4n</c:v>
                </c:pt>
                <c:pt idx="5">
                  <c:v>V3 Zero Shot 4.1m</c:v>
                </c:pt>
                <c:pt idx="6">
                  <c:v>V4 Zero Shot 5.4n</c:v>
                </c:pt>
                <c:pt idx="7">
                  <c:v>V5 Zero Shot 5.4n</c:v>
                </c:pt>
                <c:pt idx="8">
                  <c:v>V6 Zero Shot 5.4n</c:v>
                </c:pt>
                <c:pt idx="9">
                  <c:v>V7 Zero Shot 5.4n</c:v>
                </c:pt>
                <c:pt idx="10">
                  <c:v>V8 Zero Shot Gemini 2.5 Flash</c:v>
                </c:pt>
                <c:pt idx="11">
                  <c:v>V9 Zero Shot Gemini 3.1 Pro</c:v>
                </c:pt>
                <c:pt idx="12">
                  <c:v>V11 Zero Shot Gemini 2.5 Flash</c:v>
                </c:pt>
                <c:pt idx="13">
                  <c:v>V12 Zero Shot GPT 4.1m</c:v>
                </c:pt>
                <c:pt idx="14">
                  <c:v>V13 Zero Shot Gemini 3.1 Pro</c:v>
                </c:pt>
                <c:pt idx="15">
                  <c:v>V1 Few Shot 4.1m</c:v>
                </c:pt>
                <c:pt idx="16">
                  <c:v>V2 Few Shot 4.1m</c:v>
                </c:pt>
                <c:pt idx="17">
                  <c:v>V3 Few Shot 4.1m</c:v>
                </c:pt>
                <c:pt idx="18">
                  <c:v>V4 Few Shot 5.4n</c:v>
                </c:pt>
                <c:pt idx="19">
                  <c:v>V5 Few Shot Gemini-3-flash-preview</c:v>
                </c:pt>
                <c:pt idx="20">
                  <c:v>V6 Few Shot Gemini 3.1 Pro</c:v>
                </c:pt>
                <c:pt idx="21">
                  <c:v>V7 Few Shot 4.1m</c:v>
                </c:pt>
                <c:pt idx="22">
                  <c:v>V8 Few Shot Gemini 2.5 Flash</c:v>
                </c:pt>
              </c:strCache>
            </c:strRef>
          </c:cat>
          <c:val>
            <c:numRef>
              <c:f>Main!$G$140:$G$162</c:f>
              <c:numCache>
                <c:formatCode>0%</c:formatCode>
                <c:ptCount val="23"/>
                <c:pt idx="0">
                  <c:v>0.76471</c:v>
                </c:pt>
                <c:pt idx="1">
                  <c:v>0.77419000000000004</c:v>
                </c:pt>
                <c:pt idx="2">
                  <c:v>0.28888999999999998</c:v>
                </c:pt>
                <c:pt idx="3">
                  <c:v>0.22222</c:v>
                </c:pt>
                <c:pt idx="4">
                  <c:v>0.27956999999999999</c:v>
                </c:pt>
                <c:pt idx="5">
                  <c:v>0.48148000000000002</c:v>
                </c:pt>
                <c:pt idx="6">
                  <c:v>0.25490000000000002</c:v>
                </c:pt>
                <c:pt idx="7">
                  <c:v>0.27083000000000002</c:v>
                </c:pt>
                <c:pt idx="8">
                  <c:v>0.26262999999999997</c:v>
                </c:pt>
                <c:pt idx="9">
                  <c:v>0.31707000000000002</c:v>
                </c:pt>
                <c:pt idx="10">
                  <c:v>0.60465000000000002</c:v>
                </c:pt>
                <c:pt idx="11">
                  <c:v>0.74285999999999996</c:v>
                </c:pt>
                <c:pt idx="12">
                  <c:v>0.48980000000000001</c:v>
                </c:pt>
                <c:pt idx="13">
                  <c:v>0.40625</c:v>
                </c:pt>
                <c:pt idx="14">
                  <c:v>0.68420999999999998</c:v>
                </c:pt>
                <c:pt idx="15">
                  <c:v>0.44828000000000001</c:v>
                </c:pt>
                <c:pt idx="16">
                  <c:v>0.47272999999999998</c:v>
                </c:pt>
                <c:pt idx="17">
                  <c:v>0.59091000000000005</c:v>
                </c:pt>
                <c:pt idx="18">
                  <c:v>0.43332999999999999</c:v>
                </c:pt>
                <c:pt idx="19">
                  <c:v>0.60465000000000002</c:v>
                </c:pt>
                <c:pt idx="20">
                  <c:v>0.68571000000000004</c:v>
                </c:pt>
                <c:pt idx="21">
                  <c:v>0.26530999999999999</c:v>
                </c:pt>
                <c:pt idx="22">
                  <c:v>0.63414999999999999</c:v>
                </c:pt>
              </c:numCache>
            </c:numRef>
          </c:val>
          <c:extLst>
            <c:ext xmlns:c16="http://schemas.microsoft.com/office/drawing/2014/chart" uri="{C3380CC4-5D6E-409C-BE32-E72D297353CC}">
              <c16:uniqueId val="{00000001-466B-4F67-9799-8210816F31F8}"/>
            </c:ext>
          </c:extLst>
        </c:ser>
        <c:dLbls>
          <c:showLegendKey val="0"/>
          <c:showVal val="0"/>
          <c:showCatName val="0"/>
          <c:showSerName val="0"/>
          <c:showPercent val="0"/>
          <c:showBubbleSize val="0"/>
        </c:dLbls>
        <c:axId val="1559243119"/>
        <c:axId val="1559241679"/>
      </c:radarChart>
      <c:catAx>
        <c:axId val="155924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241679"/>
        <c:crosses val="autoZero"/>
        <c:auto val="1"/>
        <c:lblAlgn val="ctr"/>
        <c:lblOffset val="100"/>
        <c:noMultiLvlLbl val="0"/>
      </c:catAx>
      <c:valAx>
        <c:axId val="1559241679"/>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59243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Main!$G$1</c:f>
              <c:strCache>
                <c:ptCount val="1"/>
                <c:pt idx="0">
                  <c:v>F1</c:v>
                </c:pt>
              </c:strCache>
            </c:strRef>
          </c:tx>
          <c:spPr>
            <a:solidFill>
              <a:schemeClr val="accent1"/>
            </a:solidFill>
            <a:ln>
              <a:noFill/>
            </a:ln>
            <a:effectLst/>
          </c:spPr>
          <c:cat>
            <c:strRef>
              <c:f>Main!$B$165:$B$187</c:f>
              <c:strCache>
                <c:ptCount val="23"/>
                <c:pt idx="0">
                  <c:v>Fine Tunned GPT 4.1m</c:v>
                </c:pt>
                <c:pt idx="1">
                  <c:v>Fine Tunned Gemini-2.5-flash</c:v>
                </c:pt>
                <c:pt idx="2">
                  <c:v>V1 Zero Shot 4.1m</c:v>
                </c:pt>
                <c:pt idx="3">
                  <c:v>V2 Zero Shot 4.1m</c:v>
                </c:pt>
                <c:pt idx="4">
                  <c:v>V3 Zero Shot 5.4n</c:v>
                </c:pt>
                <c:pt idx="5">
                  <c:v>V3 Zero Shot 4.1m</c:v>
                </c:pt>
                <c:pt idx="6">
                  <c:v>V4 Zero Shot 5.4n</c:v>
                </c:pt>
                <c:pt idx="7">
                  <c:v>V5 Zero Shot 5.4n</c:v>
                </c:pt>
                <c:pt idx="8">
                  <c:v>V6 Zero Shot 5.4n</c:v>
                </c:pt>
                <c:pt idx="9">
                  <c:v>V7 Zero Shot 5.4n</c:v>
                </c:pt>
                <c:pt idx="10">
                  <c:v>V8 Zero Shot Gemini 2.5 Flash</c:v>
                </c:pt>
                <c:pt idx="11">
                  <c:v>V9 Zero Shot Gemini 3.1 Pro</c:v>
                </c:pt>
                <c:pt idx="12">
                  <c:v>V11 Zero Shot Gemini 2.5 Flash</c:v>
                </c:pt>
                <c:pt idx="13">
                  <c:v>V12 Zero Shot GPT 4.1m</c:v>
                </c:pt>
                <c:pt idx="14">
                  <c:v>V13 Zero Shot Gemini 3.1 Pro</c:v>
                </c:pt>
                <c:pt idx="15">
                  <c:v>V1 Few Shot 4.1m</c:v>
                </c:pt>
                <c:pt idx="16">
                  <c:v>V2 Few Shot 4.1m</c:v>
                </c:pt>
                <c:pt idx="17">
                  <c:v>V3 Few Shot 4.1m</c:v>
                </c:pt>
                <c:pt idx="18">
                  <c:v>V4 Few Shot 5.4n</c:v>
                </c:pt>
                <c:pt idx="19">
                  <c:v>V5 Few Shot Gemini-3-flash-preview</c:v>
                </c:pt>
                <c:pt idx="20">
                  <c:v>V6 Few Shot Gemini 3.1 Pro</c:v>
                </c:pt>
                <c:pt idx="21">
                  <c:v>V7 Few Shot 4.1m</c:v>
                </c:pt>
                <c:pt idx="22">
                  <c:v>V8 Few Shot Gemini 2.5 Flash</c:v>
                </c:pt>
              </c:strCache>
            </c:strRef>
          </c:cat>
          <c:val>
            <c:numRef>
              <c:f>Main!$G$165:$G$187</c:f>
              <c:numCache>
                <c:formatCode>0%</c:formatCode>
                <c:ptCount val="23"/>
                <c:pt idx="0">
                  <c:v>0.8</c:v>
                </c:pt>
                <c:pt idx="1">
                  <c:v>0.79166999999999998</c:v>
                </c:pt>
                <c:pt idx="2">
                  <c:v>0.45161000000000001</c:v>
                </c:pt>
                <c:pt idx="3">
                  <c:v>0.42</c:v>
                </c:pt>
                <c:pt idx="4">
                  <c:v>0.36537999999999998</c:v>
                </c:pt>
                <c:pt idx="5">
                  <c:v>0.33333000000000002</c:v>
                </c:pt>
                <c:pt idx="6">
                  <c:v>0.12364</c:v>
                </c:pt>
                <c:pt idx="7">
                  <c:v>0.28037000000000001</c:v>
                </c:pt>
                <c:pt idx="8">
                  <c:v>0.2243</c:v>
                </c:pt>
                <c:pt idx="9">
                  <c:v>0.3</c:v>
                </c:pt>
                <c:pt idx="10">
                  <c:v>0.58333000000000002</c:v>
                </c:pt>
                <c:pt idx="11">
                  <c:v>0.7</c:v>
                </c:pt>
                <c:pt idx="12">
                  <c:v>0.625</c:v>
                </c:pt>
                <c:pt idx="13">
                  <c:v>0.32990000000000003</c:v>
                </c:pt>
                <c:pt idx="14">
                  <c:v>0.65713999999999995</c:v>
                </c:pt>
                <c:pt idx="15">
                  <c:v>0.54795000000000005</c:v>
                </c:pt>
                <c:pt idx="16">
                  <c:v>0.64285999999999999</c:v>
                </c:pt>
                <c:pt idx="17">
                  <c:v>0.63158000000000003</c:v>
                </c:pt>
                <c:pt idx="18">
                  <c:v>0.47367999999999999</c:v>
                </c:pt>
                <c:pt idx="19">
                  <c:v>0.67796999999999996</c:v>
                </c:pt>
                <c:pt idx="20">
                  <c:v>0.73684000000000005</c:v>
                </c:pt>
                <c:pt idx="21">
                  <c:v>0.37837999999999999</c:v>
                </c:pt>
                <c:pt idx="22">
                  <c:v>0.61765000000000003</c:v>
                </c:pt>
              </c:numCache>
            </c:numRef>
          </c:val>
          <c:extLst>
            <c:ext xmlns:c16="http://schemas.microsoft.com/office/drawing/2014/chart" uri="{C3380CC4-5D6E-409C-BE32-E72D297353CC}">
              <c16:uniqueId val="{00000000-9E35-4AE1-AF4F-65259E400130}"/>
            </c:ext>
          </c:extLst>
        </c:ser>
        <c:dLbls>
          <c:showLegendKey val="0"/>
          <c:showVal val="0"/>
          <c:showCatName val="0"/>
          <c:showSerName val="0"/>
          <c:showPercent val="0"/>
          <c:showBubbleSize val="0"/>
        </c:dLbls>
        <c:axId val="26625280"/>
        <c:axId val="26627200"/>
      </c:radarChart>
      <c:catAx>
        <c:axId val="2662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27200"/>
        <c:crosses val="autoZero"/>
        <c:auto val="1"/>
        <c:lblAlgn val="ctr"/>
        <c:lblOffset val="100"/>
        <c:noMultiLvlLbl val="0"/>
      </c:catAx>
      <c:valAx>
        <c:axId val="26627200"/>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662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Main!$G$1</c:f>
              <c:strCache>
                <c:ptCount val="1"/>
                <c:pt idx="0">
                  <c:v>F1</c:v>
                </c:pt>
              </c:strCache>
            </c:strRef>
          </c:tx>
          <c:spPr>
            <a:solidFill>
              <a:schemeClr val="accent1"/>
            </a:solidFill>
            <a:ln>
              <a:noFill/>
            </a:ln>
            <a:effectLst/>
          </c:spPr>
          <c:cat>
            <c:strRef>
              <c:f>Main!$B$190:$B$212</c:f>
              <c:strCache>
                <c:ptCount val="23"/>
                <c:pt idx="0">
                  <c:v>Fine Tunned GPT 4.1m</c:v>
                </c:pt>
                <c:pt idx="1">
                  <c:v>Fine Tunned Gemini-2.5-flash</c:v>
                </c:pt>
                <c:pt idx="2">
                  <c:v>V1 Zero Shot 4.1m</c:v>
                </c:pt>
                <c:pt idx="3">
                  <c:v>V2 Zero Shot 4.1m</c:v>
                </c:pt>
                <c:pt idx="4">
                  <c:v>V3 Zero Shot 5.4n</c:v>
                </c:pt>
                <c:pt idx="5">
                  <c:v>V3 Zero Shot 4.1m</c:v>
                </c:pt>
                <c:pt idx="6">
                  <c:v>V4 Zero Shot 5.4n</c:v>
                </c:pt>
                <c:pt idx="7">
                  <c:v>V5 Zero Shot 5.4n</c:v>
                </c:pt>
                <c:pt idx="8">
                  <c:v>V6 Zero Shot 5.4n</c:v>
                </c:pt>
                <c:pt idx="9">
                  <c:v>V7 Zero Shot 5.4n</c:v>
                </c:pt>
                <c:pt idx="10">
                  <c:v>V8 Zero Shot Gemini 2.5 Flash</c:v>
                </c:pt>
                <c:pt idx="11">
                  <c:v>V9 Zero Shot Gemini 3.1 Pro</c:v>
                </c:pt>
                <c:pt idx="12">
                  <c:v>V11 Zero Shot Gemini 2.5 Flash</c:v>
                </c:pt>
                <c:pt idx="13">
                  <c:v>V12 Zero Shot GPT 4.1m</c:v>
                </c:pt>
                <c:pt idx="14">
                  <c:v>V13 Zero Shot Gemini 3.1 Pro</c:v>
                </c:pt>
                <c:pt idx="15">
                  <c:v>V1 Few Shot 4.1m</c:v>
                </c:pt>
                <c:pt idx="16">
                  <c:v>V2 Few Shot 4.1m</c:v>
                </c:pt>
                <c:pt idx="17">
                  <c:v>V3 Few Shot 4.1m</c:v>
                </c:pt>
                <c:pt idx="18">
                  <c:v>V4 Few Shot 5.4n</c:v>
                </c:pt>
                <c:pt idx="19">
                  <c:v>V5 Few Shot Gemini-3-flash-preview</c:v>
                </c:pt>
                <c:pt idx="20">
                  <c:v>V6 Few Shot Gemini 3.1 Pro</c:v>
                </c:pt>
                <c:pt idx="21">
                  <c:v>V7 Few Shot 4.1m</c:v>
                </c:pt>
                <c:pt idx="22">
                  <c:v>V8 Few Shot Gemini 2.5 Flash</c:v>
                </c:pt>
              </c:strCache>
            </c:strRef>
          </c:cat>
          <c:val>
            <c:numRef>
              <c:f>Main!$G$190:$G$212</c:f>
              <c:numCache>
                <c:formatCode>0%</c:formatCode>
                <c:ptCount val="23"/>
                <c:pt idx="0">
                  <c:v>0.96</c:v>
                </c:pt>
                <c:pt idx="1">
                  <c:v>0.92308000000000001</c:v>
                </c:pt>
                <c:pt idx="2">
                  <c:v>0.46428999999999998</c:v>
                </c:pt>
                <c:pt idx="3">
                  <c:v>0.41270000000000001</c:v>
                </c:pt>
                <c:pt idx="4">
                  <c:v>0.74285999999999996</c:v>
                </c:pt>
                <c:pt idx="5">
                  <c:v>0.56521999999999994</c:v>
                </c:pt>
                <c:pt idx="6">
                  <c:v>0.47272999999999998</c:v>
                </c:pt>
                <c:pt idx="7">
                  <c:v>0.72221999999999997</c:v>
                </c:pt>
                <c:pt idx="8">
                  <c:v>0.66666999999999998</c:v>
                </c:pt>
                <c:pt idx="9">
                  <c:v>0.53332999999999997</c:v>
                </c:pt>
                <c:pt idx="10">
                  <c:v>0.96</c:v>
                </c:pt>
                <c:pt idx="11">
                  <c:v>0.84614999999999996</c:v>
                </c:pt>
                <c:pt idx="12">
                  <c:v>0.77419000000000004</c:v>
                </c:pt>
                <c:pt idx="13">
                  <c:v>0.44068000000000002</c:v>
                </c:pt>
                <c:pt idx="14">
                  <c:v>0.85714000000000001</c:v>
                </c:pt>
                <c:pt idx="15">
                  <c:v>0.65</c:v>
                </c:pt>
                <c:pt idx="16">
                  <c:v>0.68571000000000004</c:v>
                </c:pt>
                <c:pt idx="17">
                  <c:v>0.78788000000000002</c:v>
                </c:pt>
                <c:pt idx="18">
                  <c:v>0.72221999999999997</c:v>
                </c:pt>
                <c:pt idx="19">
                  <c:v>0.92308000000000001</c:v>
                </c:pt>
                <c:pt idx="20">
                  <c:v>0.88888999999999996</c:v>
                </c:pt>
                <c:pt idx="21">
                  <c:v>0.47272999999999998</c:v>
                </c:pt>
                <c:pt idx="22">
                  <c:v>0.92308000000000001</c:v>
                </c:pt>
              </c:numCache>
            </c:numRef>
          </c:val>
          <c:extLst>
            <c:ext xmlns:c16="http://schemas.microsoft.com/office/drawing/2014/chart" uri="{C3380CC4-5D6E-409C-BE32-E72D297353CC}">
              <c16:uniqueId val="{00000000-AA51-4B83-A08B-3819B017A66C}"/>
            </c:ext>
          </c:extLst>
        </c:ser>
        <c:dLbls>
          <c:showLegendKey val="0"/>
          <c:showVal val="0"/>
          <c:showCatName val="0"/>
          <c:showSerName val="0"/>
          <c:showPercent val="0"/>
          <c:showBubbleSize val="0"/>
        </c:dLbls>
        <c:axId val="1412187919"/>
        <c:axId val="1412188399"/>
      </c:radarChart>
      <c:catAx>
        <c:axId val="141218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188399"/>
        <c:crosses val="autoZero"/>
        <c:auto val="1"/>
        <c:lblAlgn val="ctr"/>
        <c:lblOffset val="100"/>
        <c:noMultiLvlLbl val="0"/>
      </c:catAx>
      <c:valAx>
        <c:axId val="1412188399"/>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1218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Main!$G$1</c:f>
              <c:strCache>
                <c:ptCount val="1"/>
                <c:pt idx="0">
                  <c:v>F1</c:v>
                </c:pt>
              </c:strCache>
            </c:strRef>
          </c:tx>
          <c:spPr>
            <a:solidFill>
              <a:schemeClr val="accent1"/>
            </a:solidFill>
            <a:ln>
              <a:noFill/>
            </a:ln>
            <a:effectLst/>
          </c:spPr>
          <c:cat>
            <c:strRef>
              <c:f>Main!$B$215:$B$237</c:f>
              <c:strCache>
                <c:ptCount val="23"/>
                <c:pt idx="0">
                  <c:v>Fine Tunned GPT 4.1m</c:v>
                </c:pt>
                <c:pt idx="1">
                  <c:v>Fine Tunned Gemini-2.5-flash</c:v>
                </c:pt>
                <c:pt idx="2">
                  <c:v>V1 Zero Shot 4.1m</c:v>
                </c:pt>
                <c:pt idx="3">
                  <c:v>V2 Zero Shot 4.1m</c:v>
                </c:pt>
                <c:pt idx="4">
                  <c:v>V3 Zero Shot 5.4n</c:v>
                </c:pt>
                <c:pt idx="5">
                  <c:v>V3 Zero Shot 4.1m</c:v>
                </c:pt>
                <c:pt idx="6">
                  <c:v>V4 Zero Shot 5.4n</c:v>
                </c:pt>
                <c:pt idx="7">
                  <c:v>V5 Zero Shot 5.4n</c:v>
                </c:pt>
                <c:pt idx="8">
                  <c:v>V6 Zero Shot 5.4n</c:v>
                </c:pt>
                <c:pt idx="9">
                  <c:v>V7 Zero Shot 5.4n</c:v>
                </c:pt>
                <c:pt idx="10">
                  <c:v>V8 Zero Shot Gemini 2.5 Flash</c:v>
                </c:pt>
                <c:pt idx="11">
                  <c:v>V9 Zero Shot Gemini 3.1 Pro</c:v>
                </c:pt>
                <c:pt idx="12">
                  <c:v>V11 Zero Shot Gemini 2.5 Flash</c:v>
                </c:pt>
                <c:pt idx="13">
                  <c:v>V12 Zero Shot GPT 4.1m</c:v>
                </c:pt>
                <c:pt idx="14">
                  <c:v>V13 Zero Shot Gemini 3.1 Pro</c:v>
                </c:pt>
                <c:pt idx="15">
                  <c:v>V1 Few Shot 4.1m</c:v>
                </c:pt>
                <c:pt idx="16">
                  <c:v>V2 Few Shot 4.1m</c:v>
                </c:pt>
                <c:pt idx="17">
                  <c:v>V3 Few Shot 4.1m</c:v>
                </c:pt>
                <c:pt idx="18">
                  <c:v>V4 Few Shot 5.4n</c:v>
                </c:pt>
                <c:pt idx="19">
                  <c:v>V5 Few Shot Gemini-3-flash-preview</c:v>
                </c:pt>
                <c:pt idx="20">
                  <c:v>V6 Few Shot Gemini 3.1 Pro</c:v>
                </c:pt>
                <c:pt idx="21">
                  <c:v>V7 Few Shot 4.1m</c:v>
                </c:pt>
                <c:pt idx="22">
                  <c:v>V8 Few Shot Gemini 2.5 Flash</c:v>
                </c:pt>
              </c:strCache>
            </c:strRef>
          </c:cat>
          <c:val>
            <c:numRef>
              <c:f>Main!$G$215:$G$237</c:f>
              <c:numCache>
                <c:formatCode>0%</c:formatCode>
                <c:ptCount val="23"/>
                <c:pt idx="0">
                  <c:v>1</c:v>
                </c:pt>
                <c:pt idx="1">
                  <c:v>1</c:v>
                </c:pt>
                <c:pt idx="2">
                  <c:v>0.71111000000000002</c:v>
                </c:pt>
                <c:pt idx="3">
                  <c:v>0.78049000000000002</c:v>
                </c:pt>
                <c:pt idx="4">
                  <c:v>0.82050999999999996</c:v>
                </c:pt>
                <c:pt idx="5">
                  <c:v>0.94118000000000002</c:v>
                </c:pt>
                <c:pt idx="6">
                  <c:v>0.47059000000000001</c:v>
                </c:pt>
                <c:pt idx="7">
                  <c:v>0.74419000000000002</c:v>
                </c:pt>
                <c:pt idx="8">
                  <c:v>0.66666999999999998</c:v>
                </c:pt>
                <c:pt idx="9">
                  <c:v>0.8</c:v>
                </c:pt>
                <c:pt idx="10">
                  <c:v>0.88234999999999997</c:v>
                </c:pt>
                <c:pt idx="11">
                  <c:v>0.91429000000000005</c:v>
                </c:pt>
                <c:pt idx="12">
                  <c:v>0.75</c:v>
                </c:pt>
                <c:pt idx="13">
                  <c:v>0.58182</c:v>
                </c:pt>
                <c:pt idx="14">
                  <c:v>0.86485999999999996</c:v>
                </c:pt>
                <c:pt idx="15">
                  <c:v>0.91429000000000005</c:v>
                </c:pt>
                <c:pt idx="16">
                  <c:v>0.91429000000000005</c:v>
                </c:pt>
                <c:pt idx="17">
                  <c:v>0.9375</c:v>
                </c:pt>
                <c:pt idx="18">
                  <c:v>0.91429000000000005</c:v>
                </c:pt>
                <c:pt idx="19">
                  <c:v>0.88234999999999997</c:v>
                </c:pt>
                <c:pt idx="20">
                  <c:v>0.91429000000000005</c:v>
                </c:pt>
                <c:pt idx="21">
                  <c:v>0.86485999999999996</c:v>
                </c:pt>
                <c:pt idx="22">
                  <c:v>0.96774000000000004</c:v>
                </c:pt>
              </c:numCache>
            </c:numRef>
          </c:val>
          <c:extLst>
            <c:ext xmlns:c16="http://schemas.microsoft.com/office/drawing/2014/chart" uri="{C3380CC4-5D6E-409C-BE32-E72D297353CC}">
              <c16:uniqueId val="{00000000-1C67-4FA5-841B-97AA7E99ADC4}"/>
            </c:ext>
          </c:extLst>
        </c:ser>
        <c:dLbls>
          <c:showLegendKey val="0"/>
          <c:showVal val="0"/>
          <c:showCatName val="0"/>
          <c:showSerName val="0"/>
          <c:showPercent val="0"/>
          <c:showBubbleSize val="0"/>
        </c:dLbls>
        <c:axId val="2129820447"/>
        <c:axId val="2129824767"/>
      </c:radarChart>
      <c:catAx>
        <c:axId val="212982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824767"/>
        <c:crosses val="autoZero"/>
        <c:auto val="1"/>
        <c:lblAlgn val="ctr"/>
        <c:lblOffset val="100"/>
        <c:noMultiLvlLbl val="0"/>
      </c:catAx>
      <c:valAx>
        <c:axId val="2129824767"/>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2982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Main!$G$1</c:f>
              <c:strCache>
                <c:ptCount val="1"/>
                <c:pt idx="0">
                  <c:v>F1</c:v>
                </c:pt>
              </c:strCache>
            </c:strRef>
          </c:tx>
          <c:spPr>
            <a:solidFill>
              <a:schemeClr val="accent1"/>
            </a:solidFill>
            <a:ln>
              <a:noFill/>
            </a:ln>
            <a:effectLst/>
          </c:spPr>
          <c:cat>
            <c:strRef>
              <c:f>Main!$B$240:$B$262</c:f>
              <c:strCache>
                <c:ptCount val="23"/>
                <c:pt idx="0">
                  <c:v>Fine Tunned GPT 4.1m</c:v>
                </c:pt>
                <c:pt idx="1">
                  <c:v>Fine Tunned Gemini-2.5-flash</c:v>
                </c:pt>
                <c:pt idx="2">
                  <c:v>V1 Zero Shot 4.1m</c:v>
                </c:pt>
                <c:pt idx="3">
                  <c:v>V2 Zero Shot 4.1m</c:v>
                </c:pt>
                <c:pt idx="4">
                  <c:v>V3 Zero Shot 5.4n</c:v>
                </c:pt>
                <c:pt idx="5">
                  <c:v>V3 Zero Shot 4.1m</c:v>
                </c:pt>
                <c:pt idx="6">
                  <c:v>V4 Zero Shot 5.4n</c:v>
                </c:pt>
                <c:pt idx="7">
                  <c:v>V5 Zero Shot 5.4n</c:v>
                </c:pt>
                <c:pt idx="8">
                  <c:v>V6 Zero Shot 5.4n</c:v>
                </c:pt>
                <c:pt idx="9">
                  <c:v>V7 Zero Shot 5.4n</c:v>
                </c:pt>
                <c:pt idx="10">
                  <c:v>V8 Zero Shot Gemini 2.5 Flash</c:v>
                </c:pt>
                <c:pt idx="11">
                  <c:v>V9 Zero Shot Gemini 3.1 Pro</c:v>
                </c:pt>
                <c:pt idx="12">
                  <c:v>V11 Zero Shot Gemini 2.5 Flash</c:v>
                </c:pt>
                <c:pt idx="13">
                  <c:v>V12 Zero Shot GPT 4.1m</c:v>
                </c:pt>
                <c:pt idx="14">
                  <c:v>V13 Zero Shot Gemini 3.1 Pro</c:v>
                </c:pt>
                <c:pt idx="15">
                  <c:v>V1 Few Shot 4.1m</c:v>
                </c:pt>
                <c:pt idx="16">
                  <c:v>V2 Few Shot 4.1m</c:v>
                </c:pt>
                <c:pt idx="17">
                  <c:v>V3 Few Shot 4.1m</c:v>
                </c:pt>
                <c:pt idx="18">
                  <c:v>V4 Few Shot 5.4n</c:v>
                </c:pt>
                <c:pt idx="19">
                  <c:v>V5 Few Shot Gemini-3-flash-preview</c:v>
                </c:pt>
                <c:pt idx="20">
                  <c:v>V6 Few Shot Gemini 3.1 Pro</c:v>
                </c:pt>
                <c:pt idx="21">
                  <c:v>V7 Few Shot 4.1m</c:v>
                </c:pt>
                <c:pt idx="22">
                  <c:v>V8 Few Shot Gemini 2.5 Flash</c:v>
                </c:pt>
              </c:strCache>
            </c:strRef>
          </c:cat>
          <c:val>
            <c:numRef>
              <c:f>Main!$G$240:$G$262</c:f>
              <c:numCache>
                <c:formatCode>0%</c:formatCode>
                <c:ptCount val="23"/>
                <c:pt idx="0">
                  <c:v>0.66666999999999998</c:v>
                </c:pt>
                <c:pt idx="1">
                  <c:v>0.63158000000000003</c:v>
                </c:pt>
                <c:pt idx="2">
                  <c:v>9.5890000000000003E-2</c:v>
                </c:pt>
                <c:pt idx="3">
                  <c:v>0.12389</c:v>
                </c:pt>
                <c:pt idx="4">
                  <c:v>0.15909000000000001</c:v>
                </c:pt>
                <c:pt idx="5">
                  <c:v>0.24560999999999999</c:v>
                </c:pt>
                <c:pt idx="6">
                  <c:v>0.10145</c:v>
                </c:pt>
                <c:pt idx="7">
                  <c:v>0.13861000000000001</c:v>
                </c:pt>
                <c:pt idx="8">
                  <c:v>0.12726999999999999</c:v>
                </c:pt>
                <c:pt idx="9">
                  <c:v>0.17949000000000001</c:v>
                </c:pt>
                <c:pt idx="10">
                  <c:v>0.32432</c:v>
                </c:pt>
                <c:pt idx="11">
                  <c:v>0.37036999999999998</c:v>
                </c:pt>
                <c:pt idx="12">
                  <c:v>0.16471</c:v>
                </c:pt>
                <c:pt idx="13">
                  <c:v>0.12281</c:v>
                </c:pt>
                <c:pt idx="14">
                  <c:v>0.11382</c:v>
                </c:pt>
                <c:pt idx="15">
                  <c:v>0.14433000000000001</c:v>
                </c:pt>
                <c:pt idx="16">
                  <c:v>0.21212</c:v>
                </c:pt>
                <c:pt idx="17">
                  <c:v>0.35</c:v>
                </c:pt>
                <c:pt idx="18">
                  <c:v>0.25455</c:v>
                </c:pt>
                <c:pt idx="19">
                  <c:v>0.46154000000000001</c:v>
                </c:pt>
                <c:pt idx="20">
                  <c:v>0.45455000000000001</c:v>
                </c:pt>
                <c:pt idx="21">
                  <c:v>8.8050000000000003E-2</c:v>
                </c:pt>
                <c:pt idx="22">
                  <c:v>0.35714000000000001</c:v>
                </c:pt>
              </c:numCache>
            </c:numRef>
          </c:val>
          <c:extLst>
            <c:ext xmlns:c16="http://schemas.microsoft.com/office/drawing/2014/chart" uri="{C3380CC4-5D6E-409C-BE32-E72D297353CC}">
              <c16:uniqueId val="{00000000-6520-4296-8033-FEFCD9DDE4AE}"/>
            </c:ext>
          </c:extLst>
        </c:ser>
        <c:dLbls>
          <c:showLegendKey val="0"/>
          <c:showVal val="0"/>
          <c:showCatName val="0"/>
          <c:showSerName val="0"/>
          <c:showPercent val="0"/>
          <c:showBubbleSize val="0"/>
        </c:dLbls>
        <c:axId val="1882775263"/>
        <c:axId val="1882776223"/>
      </c:radarChart>
      <c:catAx>
        <c:axId val="188277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776223"/>
        <c:crosses val="autoZero"/>
        <c:auto val="1"/>
        <c:lblAlgn val="ctr"/>
        <c:lblOffset val="100"/>
        <c:noMultiLvlLbl val="0"/>
      </c:catAx>
      <c:valAx>
        <c:axId val="1882776223"/>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8277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Main!$G$1</c:f>
              <c:strCache>
                <c:ptCount val="1"/>
                <c:pt idx="0">
                  <c:v>F1</c:v>
                </c:pt>
              </c:strCache>
            </c:strRef>
          </c:tx>
          <c:spPr>
            <a:solidFill>
              <a:schemeClr val="accent1"/>
            </a:solidFill>
            <a:ln>
              <a:noFill/>
            </a:ln>
            <a:effectLst/>
          </c:spPr>
          <c:cat>
            <c:strRef>
              <c:f>Main!$B$265:$B$287</c:f>
              <c:strCache>
                <c:ptCount val="23"/>
                <c:pt idx="0">
                  <c:v>Fine Tunned GPT 4.1m</c:v>
                </c:pt>
                <c:pt idx="1">
                  <c:v>Fine Tunned Gemini-2.5-flash</c:v>
                </c:pt>
                <c:pt idx="2">
                  <c:v>V1 Zero Shot 4.1m</c:v>
                </c:pt>
                <c:pt idx="3">
                  <c:v>V2 Zero Shot 4.1m</c:v>
                </c:pt>
                <c:pt idx="4">
                  <c:v>V3 Zero Shot 5.4n</c:v>
                </c:pt>
                <c:pt idx="5">
                  <c:v>V3 Zero Shot 4.1m</c:v>
                </c:pt>
                <c:pt idx="6">
                  <c:v>V4 Zero Shot 5.4n</c:v>
                </c:pt>
                <c:pt idx="7">
                  <c:v>V5 Zero Shot 5.4n</c:v>
                </c:pt>
                <c:pt idx="8">
                  <c:v>V6 Zero Shot 5.4n</c:v>
                </c:pt>
                <c:pt idx="9">
                  <c:v>V7 Zero Shot 5.4n</c:v>
                </c:pt>
                <c:pt idx="10">
                  <c:v>V8 Zero Shot Gemini 2.5 Flash</c:v>
                </c:pt>
                <c:pt idx="11">
                  <c:v>V9 Zero Shot Gemini 3.1 Pro</c:v>
                </c:pt>
                <c:pt idx="12">
                  <c:v>V11 Zero Shot Gemini 2.5 Flash</c:v>
                </c:pt>
                <c:pt idx="13">
                  <c:v>V12 Zero Shot GPT 4.1m</c:v>
                </c:pt>
                <c:pt idx="14">
                  <c:v>V13 Zero Shot Gemini 3.1 Pro</c:v>
                </c:pt>
                <c:pt idx="15">
                  <c:v>V1 Few Shot 4.1m</c:v>
                </c:pt>
                <c:pt idx="16">
                  <c:v>V2 Few Shot 4.1m</c:v>
                </c:pt>
                <c:pt idx="17">
                  <c:v>V3 Few Shot 4.1m</c:v>
                </c:pt>
                <c:pt idx="18">
                  <c:v>V4 Few Shot 5.4n</c:v>
                </c:pt>
                <c:pt idx="19">
                  <c:v>V5 Few Shot Gemini-3-flash-preview</c:v>
                </c:pt>
                <c:pt idx="20">
                  <c:v>V6 Few Shot Gemini 3.1 Pro</c:v>
                </c:pt>
                <c:pt idx="21">
                  <c:v>V7 Few Shot 4.1m</c:v>
                </c:pt>
                <c:pt idx="22">
                  <c:v>V8 Few Shot Gemini 2.5 Flash</c:v>
                </c:pt>
              </c:strCache>
            </c:strRef>
          </c:cat>
          <c:val>
            <c:numRef>
              <c:f>Main!$G$265:$G$287</c:f>
              <c:numCache>
                <c:formatCode>0%</c:formatCode>
                <c:ptCount val="23"/>
                <c:pt idx="0">
                  <c:v>0.98112999999999995</c:v>
                </c:pt>
                <c:pt idx="1">
                  <c:v>0.97489999999999999</c:v>
                </c:pt>
                <c:pt idx="2">
                  <c:v>0.77370000000000005</c:v>
                </c:pt>
                <c:pt idx="3">
                  <c:v>0.76587000000000005</c:v>
                </c:pt>
                <c:pt idx="4">
                  <c:v>0.86007999999999996</c:v>
                </c:pt>
                <c:pt idx="5">
                  <c:v>0.87343999999999999</c:v>
                </c:pt>
                <c:pt idx="6">
                  <c:v>0.65480000000000005</c:v>
                </c:pt>
                <c:pt idx="7">
                  <c:v>0.81286000000000003</c:v>
                </c:pt>
                <c:pt idx="8">
                  <c:v>0.81398999999999999</c:v>
                </c:pt>
                <c:pt idx="9">
                  <c:v>0.82708000000000004</c:v>
                </c:pt>
                <c:pt idx="10">
                  <c:v>0.92171000000000003</c:v>
                </c:pt>
                <c:pt idx="11">
                  <c:v>0.95269000000000004</c:v>
                </c:pt>
                <c:pt idx="12">
                  <c:v>0.86641000000000001</c:v>
                </c:pt>
                <c:pt idx="13">
                  <c:v>0.80630000000000002</c:v>
                </c:pt>
                <c:pt idx="14">
                  <c:v>0.87819999999999998</c:v>
                </c:pt>
                <c:pt idx="15">
                  <c:v>0.88973999999999998</c:v>
                </c:pt>
                <c:pt idx="16">
                  <c:v>0.90805999999999998</c:v>
                </c:pt>
                <c:pt idx="17">
                  <c:v>0.93533999999999995</c:v>
                </c:pt>
                <c:pt idx="18">
                  <c:v>0.89812999999999998</c:v>
                </c:pt>
                <c:pt idx="19">
                  <c:v>0.94138999999999995</c:v>
                </c:pt>
                <c:pt idx="20">
                  <c:v>0.96060000000000001</c:v>
                </c:pt>
                <c:pt idx="21">
                  <c:v>0</c:v>
                </c:pt>
                <c:pt idx="22">
                  <c:v>0.92825000000000002</c:v>
                </c:pt>
              </c:numCache>
            </c:numRef>
          </c:val>
          <c:extLst>
            <c:ext xmlns:c16="http://schemas.microsoft.com/office/drawing/2014/chart" uri="{C3380CC4-5D6E-409C-BE32-E72D297353CC}">
              <c16:uniqueId val="{00000000-D4AB-4F9F-BA91-97A035CF1CDD}"/>
            </c:ext>
          </c:extLst>
        </c:ser>
        <c:dLbls>
          <c:showLegendKey val="0"/>
          <c:showVal val="0"/>
          <c:showCatName val="0"/>
          <c:showSerName val="0"/>
          <c:showPercent val="0"/>
          <c:showBubbleSize val="0"/>
        </c:dLbls>
        <c:axId val="157433119"/>
        <c:axId val="1472476623"/>
      </c:radarChart>
      <c:catAx>
        <c:axId val="157433119"/>
        <c:scaling>
          <c:orientation val="minMax"/>
        </c:scaling>
        <c:delete val="0"/>
        <c:axPos val="b"/>
        <c:numFmt formatCode="General" sourceLinked="0"/>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72476623"/>
        <c:crosses val="autoZero"/>
        <c:auto val="1"/>
        <c:lblAlgn val="ctr"/>
        <c:lblOffset val="100"/>
        <c:noMultiLvlLbl val="0"/>
      </c:catAx>
      <c:valAx>
        <c:axId val="1472476623"/>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743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F1 Score By Category </a:t>
            </a:r>
            <a:br>
              <a:rPr lang="en-US" b="1"/>
            </a:br>
            <a:r>
              <a:rPr lang="en-US" b="1"/>
              <a:t>For Few Shot Gemini 3.1 Pro</a:t>
            </a:r>
            <a:r>
              <a:rPr lang="en-US" b="1"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Main!$G$1</c:f>
              <c:strCache>
                <c:ptCount val="1"/>
                <c:pt idx="0">
                  <c:v>F1</c:v>
                </c:pt>
              </c:strCache>
            </c:strRef>
          </c:tx>
          <c:spPr>
            <a:solidFill>
              <a:schemeClr val="accent1"/>
            </a:solidFill>
            <a:ln>
              <a:noFill/>
            </a:ln>
            <a:effectLst/>
          </c:spPr>
          <c:dLbls>
            <c:dLbl>
              <c:idx val="0"/>
              <c:layout>
                <c:manualLayout>
                  <c:x val="9.9978067912065236E-3"/>
                  <c:y val="3.98209118680872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32-4E50-9AD6-EE308A404518}"/>
                </c:ext>
              </c:extLst>
            </c:dLbl>
            <c:dLbl>
              <c:idx val="1"/>
              <c:layout>
                <c:manualLayout>
                  <c:x val="-7.7879876664259185E-3"/>
                  <c:y val="3.3740105096398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32-4E50-9AD6-EE308A404518}"/>
                </c:ext>
              </c:extLst>
            </c:dLbl>
            <c:dLbl>
              <c:idx val="2"/>
              <c:layout>
                <c:manualLayout>
                  <c:x val="-2.2043683558674785E-2"/>
                  <c:y val="7.96798553175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32-4E50-9AD6-EE308A404518}"/>
                </c:ext>
              </c:extLst>
            </c:dLbl>
            <c:dLbl>
              <c:idx val="3"/>
              <c:layout>
                <c:manualLayout>
                  <c:x val="-1.573770573061609E-2"/>
                  <c:y val="-1.6393442622950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32-4E50-9AD6-EE308A404518}"/>
                </c:ext>
              </c:extLst>
            </c:dLbl>
            <c:dLbl>
              <c:idx val="4"/>
              <c:layout>
                <c:manualLayout>
                  <c:x val="-1.9672132163270021E-3"/>
                  <c:y val="-3.6065573770491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32-4E50-9AD6-EE308A404518}"/>
                </c:ext>
              </c:extLst>
            </c:dLbl>
            <c:dLbl>
              <c:idx val="5"/>
              <c:layout>
                <c:manualLayout>
                  <c:x val="4.945314918980287E-2"/>
                  <c:y val="-4.36639477778387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32-4E50-9AD6-EE308A404518}"/>
                </c:ext>
              </c:extLst>
            </c:dLbl>
            <c:dLbl>
              <c:idx val="6"/>
              <c:layout>
                <c:manualLayout>
                  <c:x val="3.4358712199401342E-2"/>
                  <c:y val="-6.74802101927962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32-4E50-9AD6-EE308A404518}"/>
                </c:ext>
              </c:extLst>
            </c:dLbl>
            <c:dLbl>
              <c:idx val="7"/>
              <c:layout>
                <c:manualLayout>
                  <c:x val="1.7704918946943021E-2"/>
                  <c:y val="3.27868852459016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32-4E50-9AD6-EE308A404518}"/>
                </c:ext>
              </c:extLst>
            </c:dLbl>
            <c:dLbl>
              <c:idx val="8"/>
              <c:layout>
                <c:manualLayout>
                  <c:x val="1.4120555526886121E-2"/>
                  <c:y val="8.7590608857924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032-4E50-9AD6-EE308A404518}"/>
                </c:ext>
              </c:extLst>
            </c:dLbl>
            <c:spPr>
              <a:noFill/>
              <a:ln>
                <a:noFill/>
              </a:ln>
              <a:effectLst/>
            </c:spPr>
            <c:txPr>
              <a:bodyPr rot="0" spcFirstLastPara="1" vertOverflow="overflow" horzOverflow="overflow"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Main!$Q$28:$Q$36</c:f>
              <c:strCache>
                <c:ptCount val="9"/>
                <c:pt idx="0">
                  <c:v>Limitation of Liability</c:v>
                </c:pt>
                <c:pt idx="1">
                  <c:v>Unilateral Termination</c:v>
                </c:pt>
                <c:pt idx="2">
                  <c:v>Unilateral Change</c:v>
                </c:pt>
                <c:pt idx="3">
                  <c:v>Content Removal</c:v>
                </c:pt>
                <c:pt idx="4">
                  <c:v>Contract by Using</c:v>
                </c:pt>
                <c:pt idx="5">
                  <c:v>Choice of Law</c:v>
                </c:pt>
                <c:pt idx="6">
                  <c:v>Jurisdiction</c:v>
                </c:pt>
                <c:pt idx="7">
                  <c:v>Arbitration</c:v>
                </c:pt>
                <c:pt idx="8">
                  <c:v>Fair</c:v>
                </c:pt>
              </c:strCache>
            </c:strRef>
          </c:cat>
          <c:val>
            <c:numRef>
              <c:f>Main!$G$28:$G$36</c:f>
              <c:numCache>
                <c:formatCode>0%</c:formatCode>
                <c:ptCount val="9"/>
                <c:pt idx="0">
                  <c:v>0.58586000000000005</c:v>
                </c:pt>
                <c:pt idx="1">
                  <c:v>0.77419000000000004</c:v>
                </c:pt>
                <c:pt idx="2">
                  <c:v>0.65263000000000004</c:v>
                </c:pt>
                <c:pt idx="3">
                  <c:v>0.68571000000000004</c:v>
                </c:pt>
                <c:pt idx="4">
                  <c:v>0.73684000000000005</c:v>
                </c:pt>
                <c:pt idx="5">
                  <c:v>0.88888999999999996</c:v>
                </c:pt>
                <c:pt idx="6">
                  <c:v>0.91429000000000005</c:v>
                </c:pt>
                <c:pt idx="7">
                  <c:v>0.45455000000000001</c:v>
                </c:pt>
                <c:pt idx="8">
                  <c:v>0.96060000000000001</c:v>
                </c:pt>
              </c:numCache>
            </c:numRef>
          </c:val>
          <c:extLst>
            <c:ext xmlns:c16="http://schemas.microsoft.com/office/drawing/2014/chart" uri="{C3380CC4-5D6E-409C-BE32-E72D297353CC}">
              <c16:uniqueId val="{00000003-A032-4E50-9AD6-EE308A404518}"/>
            </c:ext>
          </c:extLst>
        </c:ser>
        <c:dLbls>
          <c:showLegendKey val="0"/>
          <c:showVal val="0"/>
          <c:showCatName val="0"/>
          <c:showSerName val="0"/>
          <c:showPercent val="0"/>
          <c:showBubbleSize val="0"/>
        </c:dLbls>
        <c:axId val="56665183"/>
        <c:axId val="56682943"/>
      </c:radarChart>
      <c:catAx>
        <c:axId val="56665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682943"/>
        <c:crosses val="autoZero"/>
        <c:auto val="1"/>
        <c:lblAlgn val="ctr"/>
        <c:lblOffset val="100"/>
        <c:noMultiLvlLbl val="0"/>
      </c:catAx>
      <c:valAx>
        <c:axId val="5668294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5666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254000</xdr:colOff>
      <xdr:row>7</xdr:row>
      <xdr:rowOff>76206</xdr:rowOff>
    </xdr:from>
    <xdr:to>
      <xdr:col>7</xdr:col>
      <xdr:colOff>558800</xdr:colOff>
      <xdr:row>22</xdr:row>
      <xdr:rowOff>57156</xdr:rowOff>
    </xdr:to>
    <xdr:graphicFrame macro="">
      <xdr:nvGraphicFramePr>
        <xdr:cNvPr id="2" name="Chart 2">
          <a:extLst>
            <a:ext uri="{FF2B5EF4-FFF2-40B4-BE49-F238E27FC236}">
              <a16:creationId xmlns:a16="http://schemas.microsoft.com/office/drawing/2014/main" id="{0C3E7492-7EB4-D59A-B819-152564A3C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7</xdr:row>
      <xdr:rowOff>88906</xdr:rowOff>
    </xdr:from>
    <xdr:to>
      <xdr:col>15</xdr:col>
      <xdr:colOff>381000</xdr:colOff>
      <xdr:row>22</xdr:row>
      <xdr:rowOff>69856</xdr:rowOff>
    </xdr:to>
    <xdr:graphicFrame macro="">
      <xdr:nvGraphicFramePr>
        <xdr:cNvPr id="3" name="Chart 3">
          <a:extLst>
            <a:ext uri="{FF2B5EF4-FFF2-40B4-BE49-F238E27FC236}">
              <a16:creationId xmlns:a16="http://schemas.microsoft.com/office/drawing/2014/main" id="{02DFA8DC-7075-D5F3-350C-4544999E1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69850</xdr:colOff>
      <xdr:row>35</xdr:row>
      <xdr:rowOff>158756</xdr:rowOff>
    </xdr:from>
    <xdr:to>
      <xdr:col>10</xdr:col>
      <xdr:colOff>577840</xdr:colOff>
      <xdr:row>57</xdr:row>
      <xdr:rowOff>69850</xdr:rowOff>
    </xdr:to>
    <xdr:graphicFrame macro="">
      <xdr:nvGraphicFramePr>
        <xdr:cNvPr id="4" name="Chart 14">
          <a:extLst>
            <a:ext uri="{FF2B5EF4-FFF2-40B4-BE49-F238E27FC236}">
              <a16:creationId xmlns:a16="http://schemas.microsoft.com/office/drawing/2014/main" id="{C8334BF5-A40C-C368-DEE2-91A7F714C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44449</xdr:colOff>
      <xdr:row>36</xdr:row>
      <xdr:rowOff>6</xdr:rowOff>
    </xdr:from>
    <xdr:to>
      <xdr:col>22</xdr:col>
      <xdr:colOff>531272</xdr:colOff>
      <xdr:row>57</xdr:row>
      <xdr:rowOff>82550</xdr:rowOff>
    </xdr:to>
    <xdr:graphicFrame macro="">
      <xdr:nvGraphicFramePr>
        <xdr:cNvPr id="5" name="Chart 15">
          <a:extLst>
            <a:ext uri="{FF2B5EF4-FFF2-40B4-BE49-F238E27FC236}">
              <a16:creationId xmlns:a16="http://schemas.microsoft.com/office/drawing/2014/main" id="{97F71158-2A06-9540-DF53-620C5E256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3174</xdr:colOff>
      <xdr:row>9</xdr:row>
      <xdr:rowOff>85724</xdr:rowOff>
    </xdr:from>
    <xdr:to>
      <xdr:col>28</xdr:col>
      <xdr:colOff>253999</xdr:colOff>
      <xdr:row>34</xdr:row>
      <xdr:rowOff>165099</xdr:rowOff>
    </xdr:to>
    <xdr:graphicFrame macro="">
      <xdr:nvGraphicFramePr>
        <xdr:cNvPr id="8" name="Chart 7">
          <a:extLst>
            <a:ext uri="{FF2B5EF4-FFF2-40B4-BE49-F238E27FC236}">
              <a16:creationId xmlns:a16="http://schemas.microsoft.com/office/drawing/2014/main" id="{0416BC30-3B5B-3EBD-5B08-D37C835D5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63500</xdr:colOff>
      <xdr:row>9</xdr:row>
      <xdr:rowOff>38100</xdr:rowOff>
    </xdr:from>
    <xdr:to>
      <xdr:col>36</xdr:col>
      <xdr:colOff>588221</xdr:colOff>
      <xdr:row>25</xdr:row>
      <xdr:rowOff>139700</xdr:rowOff>
    </xdr:to>
    <xdr:pic>
      <xdr:nvPicPr>
        <xdr:cNvPr id="2" name="Picture 1" descr="What is a Confusion Matrix? | Machine Learning Glossary | Encord | Encord">
          <a:extLst>
            <a:ext uri="{FF2B5EF4-FFF2-40B4-BE49-F238E27FC236}">
              <a16:creationId xmlns:a16="http://schemas.microsoft.com/office/drawing/2014/main" id="{F5164014-E6DF-F179-EF13-EF12A75D7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88800" y="1695450"/>
          <a:ext cx="5350721"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88900</xdr:colOff>
      <xdr:row>60</xdr:row>
      <xdr:rowOff>69850</xdr:rowOff>
    </xdr:from>
    <xdr:to>
      <xdr:col>35</xdr:col>
      <xdr:colOff>6350</xdr:colOff>
      <xdr:row>92</xdr:row>
      <xdr:rowOff>12700</xdr:rowOff>
    </xdr:to>
    <xdr:graphicFrame macro="">
      <xdr:nvGraphicFramePr>
        <xdr:cNvPr id="5" name="Chart 4">
          <a:extLst>
            <a:ext uri="{FF2B5EF4-FFF2-40B4-BE49-F238E27FC236}">
              <a16:creationId xmlns:a16="http://schemas.microsoft.com/office/drawing/2014/main" id="{EE64C871-3E34-A684-D71E-D07877B57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279400</xdr:colOff>
      <xdr:row>89</xdr:row>
      <xdr:rowOff>82556</xdr:rowOff>
    </xdr:from>
    <xdr:to>
      <xdr:col>26</xdr:col>
      <xdr:colOff>482600</xdr:colOff>
      <xdr:row>108</xdr:row>
      <xdr:rowOff>160026</xdr:rowOff>
    </xdr:to>
    <xdr:graphicFrame macro="">
      <xdr:nvGraphicFramePr>
        <xdr:cNvPr id="6" name="Chart 5">
          <a:extLst>
            <a:ext uri="{FF2B5EF4-FFF2-40B4-BE49-F238E27FC236}">
              <a16:creationId xmlns:a16="http://schemas.microsoft.com/office/drawing/2014/main" id="{C0DB0AF5-0025-EBA7-D7E5-B5E650CC0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273050</xdr:colOff>
      <xdr:row>114</xdr:row>
      <xdr:rowOff>107950</xdr:rowOff>
    </xdr:from>
    <xdr:to>
      <xdr:col>26</xdr:col>
      <xdr:colOff>596900</xdr:colOff>
      <xdr:row>137</xdr:row>
      <xdr:rowOff>73660</xdr:rowOff>
    </xdr:to>
    <xdr:graphicFrame macro="">
      <xdr:nvGraphicFramePr>
        <xdr:cNvPr id="7" name="Chart 6">
          <a:extLst>
            <a:ext uri="{FF2B5EF4-FFF2-40B4-BE49-F238E27FC236}">
              <a16:creationId xmlns:a16="http://schemas.microsoft.com/office/drawing/2014/main" id="{0D5098F2-A6B0-C202-6B6D-A9E9D363C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260350</xdr:colOff>
      <xdr:row>138</xdr:row>
      <xdr:rowOff>63500</xdr:rowOff>
    </xdr:from>
    <xdr:to>
      <xdr:col>27</xdr:col>
      <xdr:colOff>6350</xdr:colOff>
      <xdr:row>162</xdr:row>
      <xdr:rowOff>44450</xdr:rowOff>
    </xdr:to>
    <xdr:graphicFrame macro="">
      <xdr:nvGraphicFramePr>
        <xdr:cNvPr id="8" name="Chart 7">
          <a:extLst>
            <a:ext uri="{FF2B5EF4-FFF2-40B4-BE49-F238E27FC236}">
              <a16:creationId xmlns:a16="http://schemas.microsoft.com/office/drawing/2014/main" id="{856D59AC-05E5-342B-5FEF-6D783BBB9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266700</xdr:colOff>
      <xdr:row>163</xdr:row>
      <xdr:rowOff>6350</xdr:rowOff>
    </xdr:from>
    <xdr:to>
      <xdr:col>27</xdr:col>
      <xdr:colOff>12700</xdr:colOff>
      <xdr:row>184</xdr:row>
      <xdr:rowOff>171450</xdr:rowOff>
    </xdr:to>
    <xdr:graphicFrame macro="">
      <xdr:nvGraphicFramePr>
        <xdr:cNvPr id="10" name="Chart 9">
          <a:extLst>
            <a:ext uri="{FF2B5EF4-FFF2-40B4-BE49-F238E27FC236}">
              <a16:creationId xmlns:a16="http://schemas.microsoft.com/office/drawing/2014/main" id="{0A255F1E-6774-6667-9192-062889CDA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273050</xdr:colOff>
      <xdr:row>187</xdr:row>
      <xdr:rowOff>165100</xdr:rowOff>
    </xdr:from>
    <xdr:to>
      <xdr:col>27</xdr:col>
      <xdr:colOff>19050</xdr:colOff>
      <xdr:row>209</xdr:row>
      <xdr:rowOff>146050</xdr:rowOff>
    </xdr:to>
    <xdr:graphicFrame macro="">
      <xdr:nvGraphicFramePr>
        <xdr:cNvPr id="11" name="Chart 10">
          <a:extLst>
            <a:ext uri="{FF2B5EF4-FFF2-40B4-BE49-F238E27FC236}">
              <a16:creationId xmlns:a16="http://schemas.microsoft.com/office/drawing/2014/main" id="{7DBAE566-9410-1EE2-D3F6-7C8FFF042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292100</xdr:colOff>
      <xdr:row>212</xdr:row>
      <xdr:rowOff>139700</xdr:rowOff>
    </xdr:from>
    <xdr:to>
      <xdr:col>27</xdr:col>
      <xdr:colOff>38100</xdr:colOff>
      <xdr:row>234</xdr:row>
      <xdr:rowOff>120650</xdr:rowOff>
    </xdr:to>
    <xdr:graphicFrame macro="">
      <xdr:nvGraphicFramePr>
        <xdr:cNvPr id="12" name="Chart 11">
          <a:extLst>
            <a:ext uri="{FF2B5EF4-FFF2-40B4-BE49-F238E27FC236}">
              <a16:creationId xmlns:a16="http://schemas.microsoft.com/office/drawing/2014/main" id="{D7B73263-6341-7C28-6718-BCA7ED79E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304800</xdr:colOff>
      <xdr:row>238</xdr:row>
      <xdr:rowOff>25400</xdr:rowOff>
    </xdr:from>
    <xdr:to>
      <xdr:col>27</xdr:col>
      <xdr:colOff>50800</xdr:colOff>
      <xdr:row>262</xdr:row>
      <xdr:rowOff>6350</xdr:rowOff>
    </xdr:to>
    <xdr:graphicFrame macro="">
      <xdr:nvGraphicFramePr>
        <xdr:cNvPr id="13" name="Chart 12">
          <a:extLst>
            <a:ext uri="{FF2B5EF4-FFF2-40B4-BE49-F238E27FC236}">
              <a16:creationId xmlns:a16="http://schemas.microsoft.com/office/drawing/2014/main" id="{DE50DBDF-B775-192F-B253-C1B70301A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323850</xdr:colOff>
      <xdr:row>263</xdr:row>
      <xdr:rowOff>165100</xdr:rowOff>
    </xdr:from>
    <xdr:to>
      <xdr:col>27</xdr:col>
      <xdr:colOff>69850</xdr:colOff>
      <xdr:row>287</xdr:row>
      <xdr:rowOff>146050</xdr:rowOff>
    </xdr:to>
    <xdr:graphicFrame macro="">
      <xdr:nvGraphicFramePr>
        <xdr:cNvPr id="14" name="Chart 13">
          <a:extLst>
            <a:ext uri="{FF2B5EF4-FFF2-40B4-BE49-F238E27FC236}">
              <a16:creationId xmlns:a16="http://schemas.microsoft.com/office/drawing/2014/main" id="{52D32942-473F-8078-3F02-CEBE233ED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215899</xdr:colOff>
      <xdr:row>18</xdr:row>
      <xdr:rowOff>88900</xdr:rowOff>
    </xdr:from>
    <xdr:to>
      <xdr:col>26</xdr:col>
      <xdr:colOff>384359</xdr:colOff>
      <xdr:row>52</xdr:row>
      <xdr:rowOff>152400</xdr:rowOff>
    </xdr:to>
    <xdr:graphicFrame macro="">
      <xdr:nvGraphicFramePr>
        <xdr:cNvPr id="9" name="Chart 8">
          <a:extLst>
            <a:ext uri="{FF2B5EF4-FFF2-40B4-BE49-F238E27FC236}">
              <a16:creationId xmlns:a16="http://schemas.microsoft.com/office/drawing/2014/main" id="{D2CC48A0-F778-A6D4-5BE3-F63911A94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4AFF-CACE-4F68-AAD5-7220FC11835C}">
  <dimension ref="A2:AB43"/>
  <sheetViews>
    <sheetView showGridLines="0" tabSelected="1" workbookViewId="0">
      <selection activeCell="AF10" sqref="AF10:AG10"/>
    </sheetView>
  </sheetViews>
  <sheetFormatPr defaultRowHeight="14.5" x14ac:dyDescent="0.35"/>
  <cols>
    <col min="19" max="19" width="20.90625" style="5" customWidth="1"/>
    <col min="20" max="23" width="8.54296875" style="6" customWidth="1"/>
  </cols>
  <sheetData>
    <row r="2" spans="1:23" x14ac:dyDescent="0.35">
      <c r="B2" t="s">
        <v>237</v>
      </c>
      <c r="C2">
        <v>1</v>
      </c>
      <c r="D2">
        <v>2</v>
      </c>
      <c r="E2">
        <v>3</v>
      </c>
      <c r="F2">
        <v>4</v>
      </c>
      <c r="G2">
        <v>5</v>
      </c>
      <c r="H2">
        <v>6</v>
      </c>
      <c r="I2">
        <v>7</v>
      </c>
      <c r="S2" s="31"/>
      <c r="T2" s="36" t="s">
        <v>303</v>
      </c>
      <c r="U2" s="36"/>
      <c r="V2" s="36"/>
      <c r="W2" s="27" t="s">
        <v>278</v>
      </c>
    </row>
    <row r="3" spans="1:23" ht="29" x14ac:dyDescent="0.35">
      <c r="A3" t="s">
        <v>235</v>
      </c>
      <c r="B3" s="21">
        <f ca="1">Main!E40</f>
        <v>0.95931</v>
      </c>
      <c r="S3" s="32"/>
      <c r="T3" s="26" t="s">
        <v>304</v>
      </c>
      <c r="U3" s="26" t="s">
        <v>274</v>
      </c>
      <c r="V3" s="26" t="s">
        <v>275</v>
      </c>
      <c r="W3" s="27" t="s">
        <v>279</v>
      </c>
    </row>
    <row r="4" spans="1:23" x14ac:dyDescent="0.35">
      <c r="A4" t="s">
        <v>235</v>
      </c>
      <c r="S4" s="28" t="s">
        <v>291</v>
      </c>
      <c r="T4" s="33">
        <f ca="1">Main!G52</f>
        <v>0.44107000000000002</v>
      </c>
      <c r="U4" s="33">
        <f ca="1">Main!G53</f>
        <v>0.57518000000000002</v>
      </c>
      <c r="V4" s="29">
        <f ca="1">Main!G54</f>
        <v>0.63136000000000003</v>
      </c>
      <c r="W4" s="35" t="s">
        <v>277</v>
      </c>
    </row>
    <row r="5" spans="1:23" x14ac:dyDescent="0.35">
      <c r="A5" t="s">
        <v>236</v>
      </c>
      <c r="S5" s="28" t="s">
        <v>281</v>
      </c>
      <c r="T5" s="33">
        <f ca="1">Main!G45</f>
        <v>0.53627000000000002</v>
      </c>
      <c r="U5" s="33">
        <f ca="1">Main!G50</f>
        <v>0.67820000000000003</v>
      </c>
      <c r="V5" s="29">
        <f ca="1">Main!G51</f>
        <v>0.71753</v>
      </c>
      <c r="W5" s="35" t="s">
        <v>277</v>
      </c>
    </row>
    <row r="6" spans="1:23" x14ac:dyDescent="0.35">
      <c r="S6" s="28" t="s">
        <v>280</v>
      </c>
      <c r="T6" s="33">
        <f ca="1">Main!G57</f>
        <v>0.65973000000000004</v>
      </c>
      <c r="U6" s="33">
        <f ca="1">Main!G60</f>
        <v>0.70030000000000003</v>
      </c>
      <c r="V6" s="29">
        <f ca="1">Main!G61</f>
        <v>0.73928000000000005</v>
      </c>
      <c r="W6" s="35" t="s">
        <v>277</v>
      </c>
    </row>
    <row r="7" spans="1:23" x14ac:dyDescent="0.35">
      <c r="A7" s="22" t="s">
        <v>238</v>
      </c>
      <c r="S7" s="28" t="s">
        <v>276</v>
      </c>
      <c r="T7" s="29">
        <f ca="1">Main!G40</f>
        <v>0.83037000000000005</v>
      </c>
      <c r="U7" s="33">
        <f ca="1">Main!G41</f>
        <v>0.80666000000000004</v>
      </c>
      <c r="V7" s="34" t="s">
        <v>277</v>
      </c>
      <c r="W7" s="30">
        <v>0.83</v>
      </c>
    </row>
    <row r="25" spans="1:1" x14ac:dyDescent="0.35">
      <c r="A25" s="22" t="s">
        <v>239</v>
      </c>
    </row>
    <row r="27" spans="1:1" x14ac:dyDescent="0.35">
      <c r="A27" t="s">
        <v>240</v>
      </c>
    </row>
    <row r="30" spans="1:1" x14ac:dyDescent="0.35">
      <c r="A30" s="22" t="s">
        <v>241</v>
      </c>
    </row>
    <row r="32" spans="1:1" x14ac:dyDescent="0.35">
      <c r="A32" t="s">
        <v>242</v>
      </c>
    </row>
    <row r="35" spans="1:28" x14ac:dyDescent="0.35">
      <c r="A35" s="22" t="s">
        <v>243</v>
      </c>
    </row>
    <row r="40" spans="1:28" x14ac:dyDescent="0.35">
      <c r="AA40">
        <v>5532</v>
      </c>
      <c r="AB40" s="37">
        <f>AA40/$AA$43</f>
        <v>0.58763543658381134</v>
      </c>
    </row>
    <row r="41" spans="1:28" x14ac:dyDescent="0.35">
      <c r="AA41">
        <v>2275</v>
      </c>
      <c r="AB41" s="37">
        <f t="shared" ref="AB41:AB43" si="0">AA41/$AA$43</f>
        <v>0.24166135542808584</v>
      </c>
    </row>
    <row r="42" spans="1:28" x14ac:dyDescent="0.35">
      <c r="AA42">
        <v>1607</v>
      </c>
      <c r="AB42" s="37">
        <f t="shared" si="0"/>
        <v>0.17070320798810282</v>
      </c>
    </row>
    <row r="43" spans="1:28" x14ac:dyDescent="0.35">
      <c r="AA43">
        <f>SUM(AA40:AA42)</f>
        <v>9414</v>
      </c>
      <c r="AB43">
        <f t="shared" si="0"/>
        <v>1</v>
      </c>
    </row>
  </sheetData>
  <mergeCells count="1">
    <mergeCell ref="T2:V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E85C-97B9-4794-B280-ECD525FC1550}">
  <dimension ref="B1:S312"/>
  <sheetViews>
    <sheetView zoomScaleNormal="100" workbookViewId="0">
      <pane ySplit="2" topLeftCell="A9" activePane="bottomLeft" state="frozen"/>
      <selection pane="bottomLeft" activeCell="G1" sqref="G1"/>
    </sheetView>
  </sheetViews>
  <sheetFormatPr defaultColWidth="8.6328125" defaultRowHeight="14.5" outlineLevelRow="1" outlineLevelCol="1" x14ac:dyDescent="0.35"/>
  <cols>
    <col min="1" max="1" width="4.453125" style="5" customWidth="1"/>
    <col min="2" max="2" width="39.36328125" style="5" customWidth="1"/>
    <col min="3" max="3" width="39.36328125" style="5" customWidth="1" outlineLevel="1"/>
    <col min="4" max="4" width="13.6328125" style="6" customWidth="1"/>
    <col min="5" max="5" width="12.1796875" style="6" hidden="1" customWidth="1" outlineLevel="1"/>
    <col min="6" max="6" width="10.453125" style="6" hidden="1" customWidth="1" outlineLevel="1"/>
    <col min="7" max="7" width="9.6328125" style="6" customWidth="1" collapsed="1"/>
    <col min="8" max="8" width="10.453125" style="6" hidden="1" customWidth="1" outlineLevel="1"/>
    <col min="9" max="13" width="9.6328125" style="6" hidden="1" customWidth="1" outlineLevel="1"/>
    <col min="14" max="14" width="10.81640625" style="6" hidden="1" customWidth="1" outlineLevel="1"/>
    <col min="15" max="16" width="12.453125" style="6" hidden="1" customWidth="1" outlineLevel="1"/>
    <col min="17" max="17" width="8.6328125" style="5" collapsed="1"/>
    <col min="18" max="16384" width="8.6328125" style="5"/>
  </cols>
  <sheetData>
    <row r="1" spans="2:16" s="3" customFormat="1" ht="29" x14ac:dyDescent="0.35">
      <c r="B1" s="1" t="s">
        <v>244</v>
      </c>
      <c r="C1" s="1" t="s">
        <v>245</v>
      </c>
      <c r="D1" s="2" t="s">
        <v>17</v>
      </c>
      <c r="E1" s="2" t="s">
        <v>0</v>
      </c>
      <c r="F1" s="2" t="s">
        <v>1</v>
      </c>
      <c r="G1" s="2" t="s">
        <v>2</v>
      </c>
      <c r="H1" s="2" t="s">
        <v>32</v>
      </c>
      <c r="I1" s="2" t="s">
        <v>3</v>
      </c>
      <c r="J1" s="2" t="s">
        <v>4</v>
      </c>
      <c r="K1" s="2" t="s">
        <v>5</v>
      </c>
      <c r="L1" s="2" t="s">
        <v>6</v>
      </c>
      <c r="M1" s="2" t="s">
        <v>7</v>
      </c>
      <c r="N1" s="2" t="s">
        <v>8</v>
      </c>
      <c r="O1" s="2" t="s">
        <v>9</v>
      </c>
      <c r="P1" s="2" t="s">
        <v>10</v>
      </c>
    </row>
    <row r="2" spans="2:16" s="3" customFormat="1" hidden="1" outlineLevel="1" x14ac:dyDescent="0.35">
      <c r="B2" s="1"/>
      <c r="C2" s="1"/>
      <c r="D2" s="2"/>
      <c r="E2" s="2" t="s">
        <v>18</v>
      </c>
      <c r="F2" s="2" t="s">
        <v>31</v>
      </c>
      <c r="G2" s="2" t="s">
        <v>19</v>
      </c>
      <c r="H2" s="2" t="s">
        <v>20</v>
      </c>
      <c r="I2" s="2" t="s">
        <v>21</v>
      </c>
      <c r="J2" s="2" t="s">
        <v>22</v>
      </c>
      <c r="K2" s="2" t="s">
        <v>23</v>
      </c>
      <c r="L2" s="2" t="s">
        <v>24</v>
      </c>
      <c r="M2" s="2" t="s">
        <v>25</v>
      </c>
      <c r="N2" s="2" t="s">
        <v>26</v>
      </c>
      <c r="O2" s="2" t="s">
        <v>27</v>
      </c>
      <c r="P2" s="2" t="s">
        <v>33</v>
      </c>
    </row>
    <row r="3" spans="2:16" collapsed="1" x14ac:dyDescent="0.35">
      <c r="B3" s="5" t="s">
        <v>249</v>
      </c>
      <c r="C3" s="5" t="s">
        <v>249</v>
      </c>
      <c r="D3" s="7" t="s">
        <v>11</v>
      </c>
      <c r="E3" s="9" cm="1">
        <f t="array" aca="1" ref="E3" ca="1">INDIRECT("'"&amp;$C3&amp;"'!"&amp;E$2&amp;MATCH($D3,INDIRECT("'"&amp;$C3&amp;"'!$A:$A"),0))</f>
        <v>0.95931</v>
      </c>
      <c r="F3" s="9" cm="1">
        <f t="array" aca="1" ref="F3" ca="1">INDIRECT("'"&amp;$C3&amp;"'!"&amp;F$2&amp;MATCH($D3,INDIRECT("'"&amp;$C3&amp;"'!$A:$A"),0))</f>
        <v>0.95989999999999998</v>
      </c>
      <c r="G3" s="9" cm="1">
        <f t="array" aca="1" ref="G3" ca="1">INDIRECT("'"&amp;$C3&amp;"'!"&amp;G$2&amp;MATCH($D3,INDIRECT("'"&amp;$C3&amp;"'!$A:$A"),0))</f>
        <v>0.83037000000000005</v>
      </c>
      <c r="H3" s="9"/>
      <c r="I3" s="6" cm="1">
        <f t="array" aca="1" ref="I3" ca="1">INDIRECT("'"&amp;$C3&amp;"'!"&amp;I$2&amp;MATCH($D3,INDIRECT("'"&amp;$C3&amp;"'!$A:$A"),0))</f>
        <v>1607</v>
      </c>
      <c r="J3" s="7"/>
      <c r="K3" s="7"/>
      <c r="L3" s="7"/>
      <c r="M3" s="7"/>
      <c r="N3" s="9" cm="1">
        <f t="array" aca="1" ref="N3" ca="1">INDIRECT("'"&amp;$C3&amp;"'!"&amp;N$2&amp;MATCH($D3,INDIRECT("'"&amp;$C3&amp;"'!$A:$A"),0))</f>
        <v>0.95643999999999996</v>
      </c>
      <c r="O3" s="6" cm="1">
        <f t="array" aca="1" ref="O3" ca="1">INDIRECT("'"&amp;$C3&amp;"'!"&amp;O$2&amp;MATCH($D3,INDIRECT("'"&amp;$C3&amp;"'!$A:$A"),0))</f>
        <v>0</v>
      </c>
      <c r="P3" s="6" cm="1">
        <f t="array" aca="1" ref="P3" ca="1">INDIRECT("'"&amp;$C3&amp;"'!"&amp;P$2&amp;MATCH($D3,INDIRECT("'"&amp;$C3&amp;"'!$A:$A"),0))</f>
        <v>0</v>
      </c>
    </row>
    <row r="4" spans="2:16" x14ac:dyDescent="0.35">
      <c r="B4" s="5" t="s">
        <v>249</v>
      </c>
      <c r="C4" s="5" t="s">
        <v>249</v>
      </c>
      <c r="D4" s="7">
        <v>0</v>
      </c>
      <c r="E4" s="9" cm="1">
        <f t="array" aca="1" ref="E4" ca="1">INDIRECT("'"&amp;$C4&amp;"'!"&amp;E$2&amp;MATCH($D4,INDIRECT("'"&amp;$C4&amp;"'!$A:$A"),0))</f>
        <v>0.70455000000000001</v>
      </c>
      <c r="F4" s="9" cm="1">
        <f t="array" aca="1" ref="F4" ca="1">INDIRECT("'"&amp;$C4&amp;"'!"&amp;F$2&amp;MATCH($D4,INDIRECT("'"&amp;$C4&amp;"'!$A:$A"),0))</f>
        <v>0.81579000000000002</v>
      </c>
      <c r="G4" s="9" cm="1">
        <f t="array" aca="1" ref="G4" ca="1">INDIRECT("'"&amp;$C4&amp;"'!"&amp;G$2&amp;MATCH($D4,INDIRECT("'"&amp;$C4&amp;"'!$A:$A"),0))</f>
        <v>0.75609999999999999</v>
      </c>
      <c r="H4" s="9"/>
      <c r="I4" s="6" cm="1">
        <f t="array" aca="1" ref="I4" ca="1">INDIRECT("'"&amp;$C4&amp;"'!"&amp;I$2&amp;MATCH($D4,INDIRECT("'"&amp;$C4&amp;"'!$A:$A"),0))</f>
        <v>38</v>
      </c>
      <c r="J4" s="6" cm="1">
        <f t="array" aca="1" ref="J4" ca="1">INDIRECT("'"&amp;$C4&amp;"'!"&amp;J$2&amp;MATCH($D4,INDIRECT("'"&amp;$C4&amp;"'!$A:$A"),0))</f>
        <v>31</v>
      </c>
      <c r="K4" s="6" cm="1">
        <f t="array" aca="1" ref="K4" ca="1">INDIRECT("'"&amp;$C4&amp;"'!"&amp;K$2&amp;MATCH($D4,INDIRECT("'"&amp;$C4&amp;"'!$A:$A"),0))</f>
        <v>13</v>
      </c>
      <c r="L4" s="6" cm="1">
        <f t="array" aca="1" ref="L4" ca="1">INDIRECT("'"&amp;$C4&amp;"'!"&amp;L$2&amp;MATCH($D4,INDIRECT("'"&amp;$C4&amp;"'!$A:$A"),0))</f>
        <v>7</v>
      </c>
    </row>
    <row r="5" spans="2:16" x14ac:dyDescent="0.35">
      <c r="B5" s="5" t="s">
        <v>249</v>
      </c>
      <c r="C5" s="5" t="s">
        <v>249</v>
      </c>
      <c r="D5" s="7">
        <v>1</v>
      </c>
      <c r="E5" s="9" cm="1">
        <f t="array" aca="1" ref="E5" ca="1">INDIRECT("'"&amp;$C5&amp;"'!"&amp;E$2&amp;MATCH($D5,INDIRECT("'"&amp;$C5&amp;"'!$A:$A"),0))</f>
        <v>0.78378000000000003</v>
      </c>
      <c r="F5" s="9" cm="1">
        <f t="array" aca="1" ref="F5" ca="1">INDIRECT("'"&amp;$C5&amp;"'!"&amp;F$2&amp;MATCH($D5,INDIRECT("'"&amp;$C5&amp;"'!$A:$A"),0))</f>
        <v>0.76315999999999995</v>
      </c>
      <c r="G5" s="9" cm="1">
        <f t="array" aca="1" ref="G5" ca="1">INDIRECT("'"&amp;$C5&amp;"'!"&amp;G$2&amp;MATCH($D5,INDIRECT("'"&amp;$C5&amp;"'!$A:$A"),0))</f>
        <v>0.77332999999999996</v>
      </c>
      <c r="H5" s="9"/>
      <c r="I5" s="6" cm="1">
        <f t="array" aca="1" ref="I5" ca="1">INDIRECT("'"&amp;$C5&amp;"'!"&amp;I$2&amp;MATCH($D5,INDIRECT("'"&amp;$C5&amp;"'!$A:$A"),0))</f>
        <v>38</v>
      </c>
      <c r="J5" s="6" cm="1">
        <f t="array" aca="1" ref="J5" ca="1">INDIRECT("'"&amp;$C5&amp;"'!"&amp;J$2&amp;MATCH($D5,INDIRECT("'"&amp;$C5&amp;"'!$A:$A"),0))</f>
        <v>29</v>
      </c>
      <c r="K5" s="6" cm="1">
        <f t="array" aca="1" ref="K5" ca="1">INDIRECT("'"&amp;$C5&amp;"'!"&amp;K$2&amp;MATCH($D5,INDIRECT("'"&amp;$C5&amp;"'!$A:$A"),0))</f>
        <v>8</v>
      </c>
      <c r="L5" s="6" cm="1">
        <f t="array" aca="1" ref="L5" ca="1">INDIRECT("'"&amp;$C5&amp;"'!"&amp;L$2&amp;MATCH($D5,INDIRECT("'"&amp;$C5&amp;"'!$A:$A"),0))</f>
        <v>9</v>
      </c>
    </row>
    <row r="6" spans="2:16" x14ac:dyDescent="0.35">
      <c r="B6" s="5" t="s">
        <v>249</v>
      </c>
      <c r="C6" s="5" t="s">
        <v>249</v>
      </c>
      <c r="D6" s="7">
        <v>2</v>
      </c>
      <c r="E6" s="9" cm="1">
        <f t="array" aca="1" ref="E6" ca="1">INDIRECT("'"&amp;$C6&amp;"'!"&amp;E$2&amp;MATCH($D6,INDIRECT("'"&amp;$C6&amp;"'!$A:$A"),0))</f>
        <v>0.84375</v>
      </c>
      <c r="F6" s="9" cm="1">
        <f t="array" aca="1" ref="F6" ca="1">INDIRECT("'"&amp;$C6&amp;"'!"&amp;F$2&amp;MATCH($D6,INDIRECT("'"&amp;$C6&amp;"'!$A:$A"),0))</f>
        <v>0.71052999999999999</v>
      </c>
      <c r="G6" s="9" cm="1">
        <f t="array" aca="1" ref="G6" ca="1">INDIRECT("'"&amp;$C6&amp;"'!"&amp;G$2&amp;MATCH($D6,INDIRECT("'"&amp;$C6&amp;"'!$A:$A"),0))</f>
        <v>0.77142999999999995</v>
      </c>
      <c r="H6" s="9"/>
      <c r="I6" s="6" cm="1">
        <f t="array" aca="1" ref="I6" ca="1">INDIRECT("'"&amp;$C6&amp;"'!"&amp;I$2&amp;MATCH($D6,INDIRECT("'"&amp;$C6&amp;"'!$A:$A"),0))</f>
        <v>38</v>
      </c>
      <c r="J6" s="6" cm="1">
        <f t="array" aca="1" ref="J6" ca="1">INDIRECT("'"&amp;$C6&amp;"'!"&amp;J$2&amp;MATCH($D6,INDIRECT("'"&amp;$C6&amp;"'!$A:$A"),0))</f>
        <v>27</v>
      </c>
      <c r="K6" s="6" cm="1">
        <f t="array" aca="1" ref="K6" ca="1">INDIRECT("'"&amp;$C6&amp;"'!"&amp;K$2&amp;MATCH($D6,INDIRECT("'"&amp;$C6&amp;"'!$A:$A"),0))</f>
        <v>5</v>
      </c>
      <c r="L6" s="6" cm="1">
        <f t="array" aca="1" ref="L6" ca="1">INDIRECT("'"&amp;$C6&amp;"'!"&amp;L$2&amp;MATCH($D6,INDIRECT("'"&amp;$C6&amp;"'!$A:$A"),0))</f>
        <v>11</v>
      </c>
    </row>
    <row r="7" spans="2:16" x14ac:dyDescent="0.35">
      <c r="B7" s="5" t="s">
        <v>249</v>
      </c>
      <c r="C7" s="5" t="s">
        <v>249</v>
      </c>
      <c r="D7" s="7">
        <v>3</v>
      </c>
      <c r="E7" s="9" cm="1">
        <f t="array" aca="1" ref="E7" ca="1">INDIRECT("'"&amp;$C7&amp;"'!"&amp;E$2&amp;MATCH($D7,INDIRECT("'"&amp;$C7&amp;"'!$A:$A"),0))</f>
        <v>0.61904999999999999</v>
      </c>
      <c r="F7" s="9" cm="1">
        <f t="array" aca="1" ref="F7" ca="1">INDIRECT("'"&amp;$C7&amp;"'!"&amp;F$2&amp;MATCH($D7,INDIRECT("'"&amp;$C7&amp;"'!$A:$A"),0))</f>
        <v>1</v>
      </c>
      <c r="G7" s="9" cm="1">
        <f t="array" aca="1" ref="G7" ca="1">INDIRECT("'"&amp;$C7&amp;"'!"&amp;G$2&amp;MATCH($D7,INDIRECT("'"&amp;$C7&amp;"'!$A:$A"),0))</f>
        <v>0.76471</v>
      </c>
      <c r="H7" s="9"/>
      <c r="I7" s="6" cm="1">
        <f t="array" aca="1" ref="I7" ca="1">INDIRECT("'"&amp;$C7&amp;"'!"&amp;I$2&amp;MATCH($D7,INDIRECT("'"&amp;$C7&amp;"'!$A:$A"),0))</f>
        <v>13</v>
      </c>
      <c r="J7" s="6" cm="1">
        <f t="array" aca="1" ref="J7" ca="1">INDIRECT("'"&amp;$C7&amp;"'!"&amp;J$2&amp;MATCH($D7,INDIRECT("'"&amp;$C7&amp;"'!$A:$A"),0))</f>
        <v>13</v>
      </c>
      <c r="K7" s="6" cm="1">
        <f t="array" aca="1" ref="K7" ca="1">INDIRECT("'"&amp;$C7&amp;"'!"&amp;K$2&amp;MATCH($D7,INDIRECT("'"&amp;$C7&amp;"'!$A:$A"),0))</f>
        <v>8</v>
      </c>
      <c r="L7" s="6" cm="1">
        <f t="array" aca="1" ref="L7" ca="1">INDIRECT("'"&amp;$C7&amp;"'!"&amp;L$2&amp;MATCH($D7,INDIRECT("'"&amp;$C7&amp;"'!$A:$A"),0))</f>
        <v>0</v>
      </c>
    </row>
    <row r="8" spans="2:16" x14ac:dyDescent="0.35">
      <c r="B8" s="5" t="s">
        <v>249</v>
      </c>
      <c r="C8" s="5" t="s">
        <v>249</v>
      </c>
      <c r="D8" s="7">
        <v>4</v>
      </c>
      <c r="E8" s="9" cm="1">
        <f t="array" aca="1" ref="E8" ca="1">INDIRECT("'"&amp;$C8&amp;"'!"&amp;E$2&amp;MATCH($D8,INDIRECT("'"&amp;$C8&amp;"'!$A:$A"),0))</f>
        <v>0.81818000000000002</v>
      </c>
      <c r="F8" s="9" cm="1">
        <f t="array" aca="1" ref="F8" ca="1">INDIRECT("'"&amp;$C8&amp;"'!"&amp;F$2&amp;MATCH($D8,INDIRECT("'"&amp;$C8&amp;"'!$A:$A"),0))</f>
        <v>0.78261000000000003</v>
      </c>
      <c r="G8" s="9" cm="1">
        <f t="array" aca="1" ref="G8" ca="1">INDIRECT("'"&amp;$C8&amp;"'!"&amp;G$2&amp;MATCH($D8,INDIRECT("'"&amp;$C8&amp;"'!$A:$A"),0))</f>
        <v>0.8</v>
      </c>
      <c r="H8" s="9"/>
      <c r="I8" s="6" cm="1">
        <f t="array" aca="1" ref="I8" ca="1">INDIRECT("'"&amp;$C8&amp;"'!"&amp;I$2&amp;MATCH($D8,INDIRECT("'"&amp;$C8&amp;"'!$A:$A"),0))</f>
        <v>23</v>
      </c>
      <c r="J8" s="6" cm="1">
        <f t="array" aca="1" ref="J8" ca="1">INDIRECT("'"&amp;$C8&amp;"'!"&amp;J$2&amp;MATCH($D8,INDIRECT("'"&amp;$C8&amp;"'!$A:$A"),0))</f>
        <v>18</v>
      </c>
      <c r="K8" s="6" cm="1">
        <f t="array" aca="1" ref="K8" ca="1">INDIRECT("'"&amp;$C8&amp;"'!"&amp;K$2&amp;MATCH($D8,INDIRECT("'"&amp;$C8&amp;"'!$A:$A"),0))</f>
        <v>4</v>
      </c>
      <c r="L8" s="6" cm="1">
        <f t="array" aca="1" ref="L8" ca="1">INDIRECT("'"&amp;$C8&amp;"'!"&amp;L$2&amp;MATCH($D8,INDIRECT("'"&amp;$C8&amp;"'!$A:$A"),0))</f>
        <v>5</v>
      </c>
    </row>
    <row r="9" spans="2:16" x14ac:dyDescent="0.35">
      <c r="B9" s="5" t="s">
        <v>249</v>
      </c>
      <c r="C9" s="5" t="s">
        <v>249</v>
      </c>
      <c r="D9" s="7">
        <v>5</v>
      </c>
      <c r="E9" s="9" cm="1">
        <f t="array" aca="1" ref="E9" ca="1">INDIRECT("'"&amp;$C9&amp;"'!"&amp;E$2&amp;MATCH($D9,INDIRECT("'"&amp;$C9&amp;"'!$A:$A"),0))</f>
        <v>1</v>
      </c>
      <c r="F9" s="9" cm="1">
        <f t="array" aca="1" ref="F9" ca="1">INDIRECT("'"&amp;$C9&amp;"'!"&amp;F$2&amp;MATCH($D9,INDIRECT("'"&amp;$C9&amp;"'!$A:$A"),0))</f>
        <v>0.92308000000000001</v>
      </c>
      <c r="G9" s="9" cm="1">
        <f t="array" aca="1" ref="G9" ca="1">INDIRECT("'"&amp;$C9&amp;"'!"&amp;G$2&amp;MATCH($D9,INDIRECT("'"&amp;$C9&amp;"'!$A:$A"),0))</f>
        <v>0.96</v>
      </c>
      <c r="H9" s="9"/>
      <c r="I9" s="6" cm="1">
        <f t="array" aca="1" ref="I9" ca="1">INDIRECT("'"&amp;$C9&amp;"'!"&amp;I$2&amp;MATCH($D9,INDIRECT("'"&amp;$C9&amp;"'!$A:$A"),0))</f>
        <v>13</v>
      </c>
      <c r="J9" s="6" cm="1">
        <f t="array" aca="1" ref="J9" ca="1">INDIRECT("'"&amp;$C9&amp;"'!"&amp;J$2&amp;MATCH($D9,INDIRECT("'"&amp;$C9&amp;"'!$A:$A"),0))</f>
        <v>12</v>
      </c>
      <c r="K9" s="6" cm="1">
        <f t="array" aca="1" ref="K9" ca="1">INDIRECT("'"&amp;$C9&amp;"'!"&amp;K$2&amp;MATCH($D9,INDIRECT("'"&amp;$C9&amp;"'!$A:$A"),0))</f>
        <v>0</v>
      </c>
      <c r="L9" s="6" cm="1">
        <f t="array" aca="1" ref="L9" ca="1">INDIRECT("'"&amp;$C9&amp;"'!"&amp;L$2&amp;MATCH($D9,INDIRECT("'"&amp;$C9&amp;"'!$A:$A"),0))</f>
        <v>1</v>
      </c>
    </row>
    <row r="10" spans="2:16" x14ac:dyDescent="0.35">
      <c r="B10" s="5" t="s">
        <v>249</v>
      </c>
      <c r="C10" s="5" t="s">
        <v>249</v>
      </c>
      <c r="D10" s="7">
        <v>6</v>
      </c>
      <c r="E10" s="9" cm="1">
        <f t="array" aca="1" ref="E10" ca="1">INDIRECT("'"&amp;$C10&amp;"'!"&amp;E$2&amp;MATCH($D10,INDIRECT("'"&amp;$C10&amp;"'!$A:$A"),0))</f>
        <v>1</v>
      </c>
      <c r="F10" s="9" cm="1">
        <f t="array" aca="1" ref="F10" ca="1">INDIRECT("'"&amp;$C10&amp;"'!"&amp;F$2&amp;MATCH($D10,INDIRECT("'"&amp;$C10&amp;"'!$A:$A"),0))</f>
        <v>1</v>
      </c>
      <c r="G10" s="9" cm="1">
        <f t="array" aca="1" ref="G10" ca="1">INDIRECT("'"&amp;$C10&amp;"'!"&amp;G$2&amp;MATCH($D10,INDIRECT("'"&amp;$C10&amp;"'!$A:$A"),0))</f>
        <v>1</v>
      </c>
      <c r="H10" s="9"/>
      <c r="I10" s="6" cm="1">
        <f t="array" aca="1" ref="I10" ca="1">INDIRECT("'"&amp;$C10&amp;"'!"&amp;I$2&amp;MATCH($D10,INDIRECT("'"&amp;$C10&amp;"'!$A:$A"),0))</f>
        <v>16</v>
      </c>
      <c r="J10" s="6" cm="1">
        <f t="array" aca="1" ref="J10" ca="1">INDIRECT("'"&amp;$C10&amp;"'!"&amp;J$2&amp;MATCH($D10,INDIRECT("'"&amp;$C10&amp;"'!$A:$A"),0))</f>
        <v>16</v>
      </c>
      <c r="K10" s="6" cm="1">
        <f t="array" aca="1" ref="K10" ca="1">INDIRECT("'"&amp;$C10&amp;"'!"&amp;K$2&amp;MATCH($D10,INDIRECT("'"&amp;$C10&amp;"'!$A:$A"),0))</f>
        <v>0</v>
      </c>
      <c r="L10" s="6" cm="1">
        <f t="array" aca="1" ref="L10" ca="1">INDIRECT("'"&amp;$C10&amp;"'!"&amp;L$2&amp;MATCH($D10,INDIRECT("'"&amp;$C10&amp;"'!$A:$A"),0))</f>
        <v>0</v>
      </c>
    </row>
    <row r="11" spans="2:16" x14ac:dyDescent="0.35">
      <c r="B11" s="5" t="s">
        <v>249</v>
      </c>
      <c r="C11" s="5" t="s">
        <v>249</v>
      </c>
      <c r="D11" s="7">
        <v>7</v>
      </c>
      <c r="E11" s="9" cm="1">
        <f t="array" aca="1" ref="E11" ca="1">INDIRECT("'"&amp;$C11&amp;"'!"&amp;E$2&amp;MATCH($D11,INDIRECT("'"&amp;$C11&amp;"'!$A:$A"),0))</f>
        <v>0.54544999999999999</v>
      </c>
      <c r="F11" s="9" cm="1">
        <f t="array" aca="1" ref="F11" ca="1">INDIRECT("'"&amp;$C11&amp;"'!"&amp;F$2&amp;MATCH($D11,INDIRECT("'"&amp;$C11&amp;"'!$A:$A"),0))</f>
        <v>0.85714000000000001</v>
      </c>
      <c r="G11" s="9" cm="1">
        <f t="array" aca="1" ref="G11" ca="1">INDIRECT("'"&amp;$C11&amp;"'!"&amp;G$2&amp;MATCH($D11,INDIRECT("'"&amp;$C11&amp;"'!$A:$A"),0))</f>
        <v>0.66666999999999998</v>
      </c>
      <c r="H11" s="9"/>
      <c r="I11" s="6" cm="1">
        <f t="array" aca="1" ref="I11" ca="1">INDIRECT("'"&amp;$C11&amp;"'!"&amp;I$2&amp;MATCH($D11,INDIRECT("'"&amp;$C11&amp;"'!$A:$A"),0))</f>
        <v>7</v>
      </c>
      <c r="J11" s="6" cm="1">
        <f t="array" aca="1" ref="J11" ca="1">INDIRECT("'"&amp;$C11&amp;"'!"&amp;J$2&amp;MATCH($D11,INDIRECT("'"&amp;$C11&amp;"'!$A:$A"),0))</f>
        <v>6</v>
      </c>
      <c r="K11" s="6" cm="1">
        <f t="array" aca="1" ref="K11" ca="1">INDIRECT("'"&amp;$C11&amp;"'!"&amp;K$2&amp;MATCH($D11,INDIRECT("'"&amp;$C11&amp;"'!$A:$A"),0))</f>
        <v>5</v>
      </c>
      <c r="L11" s="6" cm="1">
        <f t="array" aca="1" ref="L11" ca="1">INDIRECT("'"&amp;$C11&amp;"'!"&amp;L$2&amp;MATCH($D11,INDIRECT("'"&amp;$C11&amp;"'!$A:$A"),0))</f>
        <v>1</v>
      </c>
    </row>
    <row r="12" spans="2:16" x14ac:dyDescent="0.35">
      <c r="B12" s="5" t="s">
        <v>249</v>
      </c>
      <c r="C12" s="5" t="s">
        <v>249</v>
      </c>
      <c r="D12" s="7">
        <v>8</v>
      </c>
      <c r="E12" s="9" cm="1">
        <f t="array" aca="1" ref="E12" ca="1">INDIRECT("'"&amp;$C12&amp;"'!"&amp;E$2&amp;MATCH($D12,INDIRECT("'"&amp;$C12&amp;"'!$A:$A"),0))</f>
        <v>0.98387999999999998</v>
      </c>
      <c r="F12" s="9" cm="1">
        <f t="array" aca="1" ref="F12" ca="1">INDIRECT("'"&amp;$C12&amp;"'!"&amp;F$2&amp;MATCH($D12,INDIRECT("'"&amp;$C12&amp;"'!$A:$A"),0))</f>
        <v>0.97840000000000005</v>
      </c>
      <c r="G12" s="9" cm="1">
        <f t="array" aca="1" ref="G12" ca="1">INDIRECT("'"&amp;$C12&amp;"'!"&amp;G$2&amp;MATCH($D12,INDIRECT("'"&amp;$C12&amp;"'!$A:$A"),0))</f>
        <v>0.98112999999999995</v>
      </c>
      <c r="H12" s="9"/>
      <c r="I12" s="6" cm="1">
        <f t="array" aca="1" ref="I12" ca="1">INDIRECT("'"&amp;$C12&amp;"'!"&amp;I$2&amp;MATCH($D12,INDIRECT("'"&amp;$C12&amp;"'!$A:$A"),0))</f>
        <v>1435</v>
      </c>
      <c r="J12" s="6" cm="1">
        <f t="array" aca="1" ref="J12" ca="1">INDIRECT("'"&amp;$C12&amp;"'!"&amp;J$2&amp;MATCH($D12,INDIRECT("'"&amp;$C12&amp;"'!$A:$A"),0))</f>
        <v>1404</v>
      </c>
      <c r="K12" s="6" cm="1">
        <f t="array" aca="1" ref="K12" ca="1">INDIRECT("'"&amp;$C12&amp;"'!"&amp;K$2&amp;MATCH($D12,INDIRECT("'"&amp;$C12&amp;"'!$A:$A"),0))</f>
        <v>23</v>
      </c>
      <c r="L12" s="6" cm="1">
        <f t="array" aca="1" ref="L12" ca="1">INDIRECT("'"&amp;$C12&amp;"'!"&amp;L$2&amp;MATCH($D12,INDIRECT("'"&amp;$C12&amp;"'!$A:$A"),0))</f>
        <v>31</v>
      </c>
    </row>
    <row r="13" spans="2:16" x14ac:dyDescent="0.35">
      <c r="B13" s="5" t="s">
        <v>249</v>
      </c>
      <c r="C13" s="5" t="s">
        <v>249</v>
      </c>
      <c r="D13" s="7" t="s">
        <v>16</v>
      </c>
      <c r="E13" s="9" cm="1">
        <f t="array" aca="1" ref="E13" ca="1">INDIRECT("'"&amp;$C13&amp;"'!"&amp;E$2&amp;MATCH($D13,INDIRECT("'"&amp;$C13&amp;"'!$A:$A"),0))</f>
        <v>0.82777999999999996</v>
      </c>
      <c r="F13" s="9" cm="1">
        <f t="array" aca="1" ref="F13" ca="1">INDIRECT("'"&amp;$C13&amp;"'!"&amp;F$2&amp;MATCH($D13,INDIRECT("'"&amp;$C13&amp;"'!$A:$A"),0))</f>
        <v>0.86628000000000005</v>
      </c>
      <c r="G13" s="9" cm="1">
        <f t="array" aca="1" ref="G13" ca="1">INDIRECT("'"&amp;$C13&amp;"'!"&amp;G$2&amp;MATCH($D13,INDIRECT("'"&amp;$C13&amp;"'!$A:$A"),0))</f>
        <v>0.84658999999999995</v>
      </c>
      <c r="H13" s="9"/>
      <c r="J13" s="6" cm="1">
        <f t="array" aca="1" ref="J13" ca="1">INDIRECT("'"&amp;$C13&amp;"'!"&amp;J$2&amp;MATCH($D13,INDIRECT("'"&amp;$C13&amp;"'!$A:$A"),0))</f>
        <v>149</v>
      </c>
      <c r="K13" s="6" cm="1">
        <f t="array" aca="1" ref="K13" ca="1">INDIRECT("'"&amp;$C13&amp;"'!"&amp;K$2&amp;MATCH($D13,INDIRECT("'"&amp;$C13&amp;"'!$A:$A"),0))</f>
        <v>31</v>
      </c>
      <c r="L13" s="6" cm="1">
        <f t="array" aca="1" ref="L13" ca="1">INDIRECT("'"&amp;$C13&amp;"'!"&amp;L$2&amp;MATCH($D13,INDIRECT("'"&amp;$C13&amp;"'!$A:$A"),0))</f>
        <v>23</v>
      </c>
      <c r="M13" s="6" cm="1">
        <f t="array" aca="1" ref="M13" ca="1">INDIRECT("'"&amp;$C13&amp;"'!"&amp;M$2&amp;MATCH($D13,INDIRECT("'"&amp;$C13&amp;"'!$A:$A"),0))</f>
        <v>1404</v>
      </c>
      <c r="N13" s="9" cm="1">
        <f t="array" aca="1" ref="N13" ca="1">INDIRECT("'"&amp;$C13&amp;"'!"&amp;N$2&amp;MATCH($D13,INDIRECT("'"&amp;$C13&amp;"'!$A:$A"),0))</f>
        <v>0.96640000000000004</v>
      </c>
    </row>
    <row r="15" spans="2:16" x14ac:dyDescent="0.35">
      <c r="B15" s="5" t="s">
        <v>250</v>
      </c>
      <c r="C15" s="5" t="s">
        <v>250</v>
      </c>
      <c r="D15" s="7" t="s">
        <v>11</v>
      </c>
      <c r="E15" s="9" cm="1">
        <f t="array" aca="1" ref="E15" ca="1">INDIRECT("'"&amp;$C15&amp;"'!"&amp;E$2&amp;MATCH($D15,INDIRECT("'"&amp;$C15&amp;"'!$A:$A"),0))</f>
        <v>0.94479000000000002</v>
      </c>
      <c r="F15" s="9" cm="1">
        <f t="array" aca="1" ref="F15" ca="1">INDIRECT("'"&amp;$C15&amp;"'!"&amp;F$2&amp;MATCH($D15,INDIRECT("'"&amp;$C15&amp;"'!$A:$A"),0))</f>
        <v>0.95003000000000004</v>
      </c>
      <c r="G15" s="9" cm="1">
        <f t="array" aca="1" ref="G15" ca="1">INDIRECT("'"&amp;$C15&amp;"'!"&amp;G$2&amp;MATCH($D15,INDIRECT("'"&amp;$C15&amp;"'!$A:$A"),0))</f>
        <v>0.80666000000000004</v>
      </c>
      <c r="H15" s="9"/>
      <c r="I15" s="6" cm="1">
        <f t="array" aca="1" ref="I15" ca="1">INDIRECT("'"&amp;$C15&amp;"'!"&amp;I$2&amp;MATCH($D15,INDIRECT("'"&amp;$C15&amp;"'!$A:$A"),0))</f>
        <v>1607</v>
      </c>
      <c r="J15" s="7"/>
      <c r="K15" s="7"/>
      <c r="L15" s="7"/>
      <c r="M15" s="7"/>
      <c r="N15" s="9" cm="1">
        <f t="array" aca="1" ref="N15" ca="1">INDIRECT("'"&amp;$C15&amp;"'!"&amp;N$2&amp;MATCH($D15,INDIRECT("'"&amp;$C15&amp;"'!$A:$A"),0))</f>
        <v>0.94213000000000002</v>
      </c>
      <c r="O15" s="6" cm="1">
        <f t="array" aca="1" ref="O15" ca="1">INDIRECT("'"&amp;$C15&amp;"'!"&amp;O$2&amp;MATCH($D15,INDIRECT("'"&amp;$C15&amp;"'!$A:$A"),0))</f>
        <v>0</v>
      </c>
      <c r="P15" s="6" cm="1">
        <f t="array" aca="1" ref="P15" ca="1">INDIRECT("'"&amp;$C15&amp;"'!"&amp;P$2&amp;MATCH($D15,INDIRECT("'"&amp;$C15&amp;"'!$A:$A"),0))</f>
        <v>0</v>
      </c>
    </row>
    <row r="16" spans="2:16" x14ac:dyDescent="0.35">
      <c r="B16" s="5" t="s">
        <v>250</v>
      </c>
      <c r="C16" s="5" t="s">
        <v>250</v>
      </c>
      <c r="D16" s="7">
        <v>0</v>
      </c>
      <c r="E16" s="9" cm="1">
        <f t="array" aca="1" ref="E16" ca="1">INDIRECT("'"&amp;$C16&amp;"'!"&amp;E$2&amp;MATCH($D16,INDIRECT("'"&amp;$C16&amp;"'!$A:$A"),0))</f>
        <v>0.625</v>
      </c>
      <c r="F16" s="9" cm="1">
        <f t="array" aca="1" ref="F16" ca="1">INDIRECT("'"&amp;$C16&amp;"'!"&amp;F$2&amp;MATCH($D16,INDIRECT("'"&amp;$C16&amp;"'!$A:$A"),0))</f>
        <v>0.78947000000000001</v>
      </c>
      <c r="G16" s="9" cm="1">
        <f t="array" aca="1" ref="G16" ca="1">INDIRECT("'"&amp;$C16&amp;"'!"&amp;G$2&amp;MATCH($D16,INDIRECT("'"&amp;$C16&amp;"'!$A:$A"),0))</f>
        <v>0.69767000000000001</v>
      </c>
      <c r="H16" s="9"/>
      <c r="I16" s="6" cm="1">
        <f t="array" aca="1" ref="I16" ca="1">INDIRECT("'"&amp;$C16&amp;"'!"&amp;I$2&amp;MATCH($D16,INDIRECT("'"&amp;$C16&amp;"'!$A:$A"),0))</f>
        <v>38</v>
      </c>
      <c r="J16" s="6" cm="1">
        <f t="array" aca="1" ref="J16" ca="1">INDIRECT("'"&amp;$C16&amp;"'!"&amp;J$2&amp;MATCH($D16,INDIRECT("'"&amp;$C16&amp;"'!$A:$A"),0))</f>
        <v>30</v>
      </c>
      <c r="K16" s="6" cm="1">
        <f t="array" aca="1" ref="K16" ca="1">INDIRECT("'"&amp;$C16&amp;"'!"&amp;K$2&amp;MATCH($D16,INDIRECT("'"&amp;$C16&amp;"'!$A:$A"),0))</f>
        <v>18</v>
      </c>
      <c r="L16" s="6" cm="1">
        <f t="array" aca="1" ref="L16" ca="1">INDIRECT("'"&amp;$C16&amp;"'!"&amp;L$2&amp;MATCH($D16,INDIRECT("'"&amp;$C16&amp;"'!$A:$A"),0))</f>
        <v>8</v>
      </c>
    </row>
    <row r="17" spans="2:17" x14ac:dyDescent="0.35">
      <c r="B17" s="5" t="s">
        <v>250</v>
      </c>
      <c r="C17" s="5" t="s">
        <v>250</v>
      </c>
      <c r="D17" s="7">
        <v>1</v>
      </c>
      <c r="E17" s="9" cm="1">
        <f t="array" aca="1" ref="E17" ca="1">INDIRECT("'"&amp;$C17&amp;"'!"&amp;E$2&amp;MATCH($D17,INDIRECT("'"&amp;$C17&amp;"'!$A:$A"),0))</f>
        <v>0.62263999999999997</v>
      </c>
      <c r="F17" s="9" cm="1">
        <f t="array" aca="1" ref="F17" ca="1">INDIRECT("'"&amp;$C17&amp;"'!"&amp;F$2&amp;MATCH($D17,INDIRECT("'"&amp;$C17&amp;"'!$A:$A"),0))</f>
        <v>0.86841999999999997</v>
      </c>
      <c r="G17" s="9" cm="1">
        <f t="array" aca="1" ref="G17" ca="1">INDIRECT("'"&amp;$C17&amp;"'!"&amp;G$2&amp;MATCH($D17,INDIRECT("'"&amp;$C17&amp;"'!$A:$A"),0))</f>
        <v>0.72526999999999997</v>
      </c>
      <c r="H17" s="9"/>
      <c r="I17" s="6" cm="1">
        <f t="array" aca="1" ref="I17" ca="1">INDIRECT("'"&amp;$C17&amp;"'!"&amp;I$2&amp;MATCH($D17,INDIRECT("'"&amp;$C17&amp;"'!$A:$A"),0))</f>
        <v>38</v>
      </c>
      <c r="J17" s="6" cm="1">
        <f t="array" aca="1" ref="J17" ca="1">INDIRECT("'"&amp;$C17&amp;"'!"&amp;J$2&amp;MATCH($D17,INDIRECT("'"&amp;$C17&amp;"'!$A:$A"),0))</f>
        <v>33</v>
      </c>
      <c r="K17" s="6" cm="1">
        <f t="array" aca="1" ref="K17" ca="1">INDIRECT("'"&amp;$C17&amp;"'!"&amp;K$2&amp;MATCH($D17,INDIRECT("'"&amp;$C17&amp;"'!$A:$A"),0))</f>
        <v>20</v>
      </c>
      <c r="L17" s="6" cm="1">
        <f t="array" aca="1" ref="L17" ca="1">INDIRECT("'"&amp;$C17&amp;"'!"&amp;L$2&amp;MATCH($D17,INDIRECT("'"&amp;$C17&amp;"'!$A:$A"),0))</f>
        <v>5</v>
      </c>
    </row>
    <row r="18" spans="2:17" x14ac:dyDescent="0.35">
      <c r="B18" s="5" t="s">
        <v>250</v>
      </c>
      <c r="C18" s="5" t="s">
        <v>250</v>
      </c>
      <c r="D18" s="7">
        <v>2</v>
      </c>
      <c r="E18" s="9" cm="1">
        <f t="array" aca="1" ref="E18" ca="1">INDIRECT("'"&amp;$C18&amp;"'!"&amp;E$2&amp;MATCH($D18,INDIRECT("'"&amp;$C18&amp;"'!$A:$A"),0))</f>
        <v>0.64705999999999997</v>
      </c>
      <c r="F18" s="9" cm="1">
        <f t="array" aca="1" ref="F18" ca="1">INDIRECT("'"&amp;$C18&amp;"'!"&amp;F$2&amp;MATCH($D18,INDIRECT("'"&amp;$C18&amp;"'!$A:$A"),0))</f>
        <v>0.86841999999999997</v>
      </c>
      <c r="G18" s="9" cm="1">
        <f t="array" aca="1" ref="G18" ca="1">INDIRECT("'"&amp;$C18&amp;"'!"&amp;G$2&amp;MATCH($D18,INDIRECT("'"&amp;$C18&amp;"'!$A:$A"),0))</f>
        <v>0.74156999999999995</v>
      </c>
      <c r="H18" s="9"/>
      <c r="I18" s="6" cm="1">
        <f t="array" aca="1" ref="I18" ca="1">INDIRECT("'"&amp;$C18&amp;"'!"&amp;I$2&amp;MATCH($D18,INDIRECT("'"&amp;$C18&amp;"'!$A:$A"),0))</f>
        <v>38</v>
      </c>
      <c r="J18" s="6" cm="1">
        <f t="array" aca="1" ref="J18" ca="1">INDIRECT("'"&amp;$C18&amp;"'!"&amp;J$2&amp;MATCH($D18,INDIRECT("'"&amp;$C18&amp;"'!$A:$A"),0))</f>
        <v>33</v>
      </c>
      <c r="K18" s="6" cm="1">
        <f t="array" aca="1" ref="K18" ca="1">INDIRECT("'"&amp;$C18&amp;"'!"&amp;K$2&amp;MATCH($D18,INDIRECT("'"&amp;$C18&amp;"'!$A:$A"),0))</f>
        <v>18</v>
      </c>
      <c r="L18" s="6" cm="1">
        <f t="array" aca="1" ref="L18" ca="1">INDIRECT("'"&amp;$C18&amp;"'!"&amp;L$2&amp;MATCH($D18,INDIRECT("'"&amp;$C18&amp;"'!$A:$A"),0))</f>
        <v>5</v>
      </c>
    </row>
    <row r="19" spans="2:17" x14ac:dyDescent="0.35">
      <c r="B19" s="5" t="s">
        <v>250</v>
      </c>
      <c r="C19" s="5" t="s">
        <v>250</v>
      </c>
      <c r="D19" s="7">
        <v>3</v>
      </c>
      <c r="E19" s="9" cm="1">
        <f t="array" aca="1" ref="E19" ca="1">INDIRECT("'"&amp;$C19&amp;"'!"&amp;E$2&amp;MATCH($D19,INDIRECT("'"&amp;$C19&amp;"'!$A:$A"),0))</f>
        <v>0.66666999999999998</v>
      </c>
      <c r="F19" s="9" cm="1">
        <f t="array" aca="1" ref="F19" ca="1">INDIRECT("'"&amp;$C19&amp;"'!"&amp;F$2&amp;MATCH($D19,INDIRECT("'"&amp;$C19&amp;"'!$A:$A"),0))</f>
        <v>0.92308000000000001</v>
      </c>
      <c r="G19" s="9" cm="1">
        <f t="array" aca="1" ref="G19" ca="1">INDIRECT("'"&amp;$C19&amp;"'!"&amp;G$2&amp;MATCH($D19,INDIRECT("'"&amp;$C19&amp;"'!$A:$A"),0))</f>
        <v>0.77419000000000004</v>
      </c>
      <c r="H19" s="9"/>
      <c r="I19" s="6" cm="1">
        <f t="array" aca="1" ref="I19" ca="1">INDIRECT("'"&amp;$C19&amp;"'!"&amp;I$2&amp;MATCH($D19,INDIRECT("'"&amp;$C19&amp;"'!$A:$A"),0))</f>
        <v>13</v>
      </c>
      <c r="J19" s="6" cm="1">
        <f t="array" aca="1" ref="J19" ca="1">INDIRECT("'"&amp;$C19&amp;"'!"&amp;J$2&amp;MATCH($D19,INDIRECT("'"&amp;$C19&amp;"'!$A:$A"),0))</f>
        <v>12</v>
      </c>
      <c r="K19" s="6" cm="1">
        <f t="array" aca="1" ref="K19" ca="1">INDIRECT("'"&amp;$C19&amp;"'!"&amp;K$2&amp;MATCH($D19,INDIRECT("'"&amp;$C19&amp;"'!$A:$A"),0))</f>
        <v>6</v>
      </c>
      <c r="L19" s="6" cm="1">
        <f t="array" aca="1" ref="L19" ca="1">INDIRECT("'"&amp;$C19&amp;"'!"&amp;L$2&amp;MATCH($D19,INDIRECT("'"&amp;$C19&amp;"'!$A:$A"),0))</f>
        <v>1</v>
      </c>
    </row>
    <row r="20" spans="2:17" x14ac:dyDescent="0.35">
      <c r="B20" s="5" t="s">
        <v>250</v>
      </c>
      <c r="C20" s="5" t="s">
        <v>250</v>
      </c>
      <c r="D20" s="7">
        <v>4</v>
      </c>
      <c r="E20" s="9" cm="1">
        <f t="array" aca="1" ref="E20" ca="1">INDIRECT("'"&amp;$C20&amp;"'!"&amp;E$2&amp;MATCH($D20,INDIRECT("'"&amp;$C20&amp;"'!$A:$A"),0))</f>
        <v>0.76</v>
      </c>
      <c r="F20" s="9" cm="1">
        <f t="array" aca="1" ref="F20" ca="1">INDIRECT("'"&amp;$C20&amp;"'!"&amp;F$2&amp;MATCH($D20,INDIRECT("'"&amp;$C20&amp;"'!$A:$A"),0))</f>
        <v>0.82608999999999999</v>
      </c>
      <c r="G20" s="9" cm="1">
        <f t="array" aca="1" ref="G20" ca="1">INDIRECT("'"&amp;$C20&amp;"'!"&amp;G$2&amp;MATCH($D20,INDIRECT("'"&amp;$C20&amp;"'!$A:$A"),0))</f>
        <v>0.79166999999999998</v>
      </c>
      <c r="H20" s="9"/>
      <c r="I20" s="6" cm="1">
        <f t="array" aca="1" ref="I20" ca="1">INDIRECT("'"&amp;$C20&amp;"'!"&amp;I$2&amp;MATCH($D20,INDIRECT("'"&amp;$C20&amp;"'!$A:$A"),0))</f>
        <v>23</v>
      </c>
      <c r="J20" s="6" cm="1">
        <f t="array" aca="1" ref="J20" ca="1">INDIRECT("'"&amp;$C20&amp;"'!"&amp;J$2&amp;MATCH($D20,INDIRECT("'"&amp;$C20&amp;"'!$A:$A"),0))</f>
        <v>19</v>
      </c>
      <c r="K20" s="6" cm="1">
        <f t="array" aca="1" ref="K20" ca="1">INDIRECT("'"&amp;$C20&amp;"'!"&amp;K$2&amp;MATCH($D20,INDIRECT("'"&amp;$C20&amp;"'!$A:$A"),0))</f>
        <v>6</v>
      </c>
      <c r="L20" s="6" cm="1">
        <f t="array" aca="1" ref="L20" ca="1">INDIRECT("'"&amp;$C20&amp;"'!"&amp;L$2&amp;MATCH($D20,INDIRECT("'"&amp;$C20&amp;"'!$A:$A"),0))</f>
        <v>4</v>
      </c>
    </row>
    <row r="21" spans="2:17" x14ac:dyDescent="0.35">
      <c r="B21" s="5" t="s">
        <v>250</v>
      </c>
      <c r="C21" s="5" t="s">
        <v>250</v>
      </c>
      <c r="D21" s="7">
        <v>5</v>
      </c>
      <c r="E21" s="9" cm="1">
        <f t="array" aca="1" ref="E21" ca="1">INDIRECT("'"&amp;$C21&amp;"'!"&amp;E$2&amp;MATCH($D21,INDIRECT("'"&amp;$C21&amp;"'!$A:$A"),0))</f>
        <v>0.92308000000000001</v>
      </c>
      <c r="F21" s="9" cm="1">
        <f t="array" aca="1" ref="F21" ca="1">INDIRECT("'"&amp;$C21&amp;"'!"&amp;F$2&amp;MATCH($D21,INDIRECT("'"&amp;$C21&amp;"'!$A:$A"),0))</f>
        <v>0.92308000000000001</v>
      </c>
      <c r="G21" s="9" cm="1">
        <f t="array" aca="1" ref="G21" ca="1">INDIRECT("'"&amp;$C21&amp;"'!"&amp;G$2&amp;MATCH($D21,INDIRECT("'"&amp;$C21&amp;"'!$A:$A"),0))</f>
        <v>0.92308000000000001</v>
      </c>
      <c r="H21" s="9"/>
      <c r="I21" s="6" cm="1">
        <f t="array" aca="1" ref="I21" ca="1">INDIRECT("'"&amp;$C21&amp;"'!"&amp;I$2&amp;MATCH($D21,INDIRECT("'"&amp;$C21&amp;"'!$A:$A"),0))</f>
        <v>13</v>
      </c>
      <c r="J21" s="6" cm="1">
        <f t="array" aca="1" ref="J21" ca="1">INDIRECT("'"&amp;$C21&amp;"'!"&amp;J$2&amp;MATCH($D21,INDIRECT("'"&amp;$C21&amp;"'!$A:$A"),0))</f>
        <v>12</v>
      </c>
      <c r="K21" s="6" cm="1">
        <f t="array" aca="1" ref="K21" ca="1">INDIRECT("'"&amp;$C21&amp;"'!"&amp;K$2&amp;MATCH($D21,INDIRECT("'"&amp;$C21&amp;"'!$A:$A"),0))</f>
        <v>1</v>
      </c>
      <c r="L21" s="6" cm="1">
        <f t="array" aca="1" ref="L21" ca="1">INDIRECT("'"&amp;$C21&amp;"'!"&amp;L$2&amp;MATCH($D21,INDIRECT("'"&amp;$C21&amp;"'!$A:$A"),0))</f>
        <v>1</v>
      </c>
    </row>
    <row r="22" spans="2:17" x14ac:dyDescent="0.35">
      <c r="B22" s="5" t="s">
        <v>250</v>
      </c>
      <c r="C22" s="5" t="s">
        <v>250</v>
      </c>
      <c r="D22" s="7">
        <v>6</v>
      </c>
      <c r="E22" s="9" cm="1">
        <f t="array" aca="1" ref="E22" ca="1">INDIRECT("'"&amp;$C22&amp;"'!"&amp;E$2&amp;MATCH($D22,INDIRECT("'"&amp;$C22&amp;"'!$A:$A"),0))</f>
        <v>1</v>
      </c>
      <c r="F22" s="9" cm="1">
        <f t="array" aca="1" ref="F22" ca="1">INDIRECT("'"&amp;$C22&amp;"'!"&amp;F$2&amp;MATCH($D22,INDIRECT("'"&amp;$C22&amp;"'!$A:$A"),0))</f>
        <v>1</v>
      </c>
      <c r="G22" s="9" cm="1">
        <f t="array" aca="1" ref="G22" ca="1">INDIRECT("'"&amp;$C22&amp;"'!"&amp;G$2&amp;MATCH($D22,INDIRECT("'"&amp;$C22&amp;"'!$A:$A"),0))</f>
        <v>1</v>
      </c>
      <c r="H22" s="9"/>
      <c r="I22" s="6" cm="1">
        <f t="array" aca="1" ref="I22" ca="1">INDIRECT("'"&amp;$C22&amp;"'!"&amp;I$2&amp;MATCH($D22,INDIRECT("'"&amp;$C22&amp;"'!$A:$A"),0))</f>
        <v>16</v>
      </c>
      <c r="J22" s="6" cm="1">
        <f t="array" aca="1" ref="J22" ca="1">INDIRECT("'"&amp;$C22&amp;"'!"&amp;J$2&amp;MATCH($D22,INDIRECT("'"&amp;$C22&amp;"'!$A:$A"),0))</f>
        <v>16</v>
      </c>
      <c r="K22" s="6" cm="1">
        <f t="array" aca="1" ref="K22" ca="1">INDIRECT("'"&amp;$C22&amp;"'!"&amp;K$2&amp;MATCH($D22,INDIRECT("'"&amp;$C22&amp;"'!$A:$A"),0))</f>
        <v>0</v>
      </c>
      <c r="L22" s="6" cm="1">
        <f t="array" aca="1" ref="L22" ca="1">INDIRECT("'"&amp;$C22&amp;"'!"&amp;L$2&amp;MATCH($D22,INDIRECT("'"&amp;$C22&amp;"'!$A:$A"),0))</f>
        <v>0</v>
      </c>
    </row>
    <row r="23" spans="2:17" x14ac:dyDescent="0.35">
      <c r="B23" s="5" t="s">
        <v>250</v>
      </c>
      <c r="C23" s="5" t="s">
        <v>250</v>
      </c>
      <c r="D23" s="7">
        <v>7</v>
      </c>
      <c r="E23" s="9" cm="1">
        <f t="array" aca="1" ref="E23" ca="1">INDIRECT("'"&amp;$C23&amp;"'!"&amp;E$2&amp;MATCH($D23,INDIRECT("'"&amp;$C23&amp;"'!$A:$A"),0))</f>
        <v>0.5</v>
      </c>
      <c r="F23" s="9" cm="1">
        <f t="array" aca="1" ref="F23" ca="1">INDIRECT("'"&amp;$C23&amp;"'!"&amp;F$2&amp;MATCH($D23,INDIRECT("'"&amp;$C23&amp;"'!$A:$A"),0))</f>
        <v>0.85714000000000001</v>
      </c>
      <c r="G23" s="9" cm="1">
        <f t="array" aca="1" ref="G23" ca="1">INDIRECT("'"&amp;$C23&amp;"'!"&amp;G$2&amp;MATCH($D23,INDIRECT("'"&amp;$C23&amp;"'!$A:$A"),0))</f>
        <v>0.63158000000000003</v>
      </c>
      <c r="H23" s="9"/>
      <c r="I23" s="6" cm="1">
        <f t="array" aca="1" ref="I23" ca="1">INDIRECT("'"&amp;$C23&amp;"'!"&amp;I$2&amp;MATCH($D23,INDIRECT("'"&amp;$C23&amp;"'!$A:$A"),0))</f>
        <v>7</v>
      </c>
      <c r="J23" s="6" cm="1">
        <f t="array" aca="1" ref="J23" ca="1">INDIRECT("'"&amp;$C23&amp;"'!"&amp;J$2&amp;MATCH($D23,INDIRECT("'"&amp;$C23&amp;"'!$A:$A"),0))</f>
        <v>6</v>
      </c>
      <c r="K23" s="6" cm="1">
        <f t="array" aca="1" ref="K23" ca="1">INDIRECT("'"&amp;$C23&amp;"'!"&amp;K$2&amp;MATCH($D23,INDIRECT("'"&amp;$C23&amp;"'!$A:$A"),0))</f>
        <v>6</v>
      </c>
      <c r="L23" s="6" cm="1">
        <f t="array" aca="1" ref="L23" ca="1">INDIRECT("'"&amp;$C23&amp;"'!"&amp;L$2&amp;MATCH($D23,INDIRECT("'"&amp;$C23&amp;"'!$A:$A"),0))</f>
        <v>1</v>
      </c>
    </row>
    <row r="24" spans="2:17" x14ac:dyDescent="0.35">
      <c r="B24" s="5" t="s">
        <v>250</v>
      </c>
      <c r="C24" s="5" t="s">
        <v>250</v>
      </c>
      <c r="D24" s="7">
        <v>8</v>
      </c>
      <c r="E24" s="9" cm="1">
        <f t="array" aca="1" ref="E24" ca="1">INDIRECT("'"&amp;$C24&amp;"'!"&amp;E$2&amp;MATCH($D24,INDIRECT("'"&amp;$C24&amp;"'!$A:$A"),0))</f>
        <v>0.98924000000000001</v>
      </c>
      <c r="F24" s="9" cm="1">
        <f t="array" aca="1" ref="F24" ca="1">INDIRECT("'"&amp;$C24&amp;"'!"&amp;F$2&amp;MATCH($D24,INDIRECT("'"&amp;$C24&amp;"'!$A:$A"),0))</f>
        <v>0.96097999999999995</v>
      </c>
      <c r="G24" s="9" cm="1">
        <f t="array" aca="1" ref="G24" ca="1">INDIRECT("'"&amp;$C24&amp;"'!"&amp;G$2&amp;MATCH($D24,INDIRECT("'"&amp;$C24&amp;"'!$A:$A"),0))</f>
        <v>0.97489999999999999</v>
      </c>
      <c r="H24" s="9"/>
      <c r="I24" s="6" cm="1">
        <f t="array" aca="1" ref="I24" ca="1">INDIRECT("'"&amp;$C24&amp;"'!"&amp;I$2&amp;MATCH($D24,INDIRECT("'"&amp;$C24&amp;"'!$A:$A"),0))</f>
        <v>1435</v>
      </c>
      <c r="J24" s="6" cm="1">
        <f t="array" aca="1" ref="J24" ca="1">INDIRECT("'"&amp;$C24&amp;"'!"&amp;J$2&amp;MATCH($D24,INDIRECT("'"&amp;$C24&amp;"'!$A:$A"),0))</f>
        <v>1379</v>
      </c>
      <c r="K24" s="6" cm="1">
        <f t="array" aca="1" ref="K24" ca="1">INDIRECT("'"&amp;$C24&amp;"'!"&amp;K$2&amp;MATCH($D24,INDIRECT("'"&amp;$C24&amp;"'!$A:$A"),0))</f>
        <v>15</v>
      </c>
      <c r="L24" s="6" cm="1">
        <f t="array" aca="1" ref="L24" ca="1">INDIRECT("'"&amp;$C24&amp;"'!"&amp;L$2&amp;MATCH($D24,INDIRECT("'"&amp;$C24&amp;"'!$A:$A"),0))</f>
        <v>56</v>
      </c>
    </row>
    <row r="25" spans="2:17" x14ac:dyDescent="0.35">
      <c r="B25" s="5" t="s">
        <v>250</v>
      </c>
      <c r="C25" s="5" t="s">
        <v>250</v>
      </c>
      <c r="D25" s="7" t="s">
        <v>16</v>
      </c>
      <c r="E25" s="9" cm="1">
        <f t="array" aca="1" ref="E25" ca="1">INDIRECT("'"&amp;$C25&amp;"'!"&amp;E$2&amp;MATCH($D25,INDIRECT("'"&amp;$C25&amp;"'!$A:$A"),0))</f>
        <v>0.73709000000000002</v>
      </c>
      <c r="F25" s="9" cm="1">
        <f t="array" aca="1" ref="F25" ca="1">INDIRECT("'"&amp;$C25&amp;"'!"&amp;F$2&amp;MATCH($D25,INDIRECT("'"&amp;$C25&amp;"'!$A:$A"),0))</f>
        <v>0.91278999999999999</v>
      </c>
      <c r="G25" s="9" cm="1">
        <f t="array" aca="1" ref="G25" ca="1">INDIRECT("'"&amp;$C25&amp;"'!"&amp;G$2&amp;MATCH($D25,INDIRECT("'"&amp;$C25&amp;"'!$A:$A"),0))</f>
        <v>0.81557999999999997</v>
      </c>
      <c r="H25" s="9"/>
      <c r="J25" s="6" cm="1">
        <f t="array" aca="1" ref="J25" ca="1">INDIRECT("'"&amp;$C25&amp;"'!"&amp;J$2&amp;MATCH($D25,INDIRECT("'"&amp;$C25&amp;"'!$A:$A"),0))</f>
        <v>157</v>
      </c>
      <c r="K25" s="6" cm="1">
        <f t="array" aca="1" ref="K25" ca="1">INDIRECT("'"&amp;$C25&amp;"'!"&amp;K$2&amp;MATCH($D25,INDIRECT("'"&amp;$C25&amp;"'!$A:$A"),0))</f>
        <v>56</v>
      </c>
      <c r="L25" s="6" cm="1">
        <f t="array" aca="1" ref="L25" ca="1">INDIRECT("'"&amp;$C25&amp;"'!"&amp;L$2&amp;MATCH($D25,INDIRECT("'"&amp;$C25&amp;"'!$A:$A"),0))</f>
        <v>15</v>
      </c>
      <c r="M25" s="6" cm="1">
        <f t="array" aca="1" ref="M25" ca="1">INDIRECT("'"&amp;$C25&amp;"'!"&amp;M$2&amp;MATCH($D25,INDIRECT("'"&amp;$C25&amp;"'!$A:$A"),0))</f>
        <v>1379</v>
      </c>
      <c r="N25" s="9" cm="1">
        <f t="array" aca="1" ref="N25" ca="1">INDIRECT("'"&amp;$C25&amp;"'!"&amp;N$2&amp;MATCH($D25,INDIRECT("'"&amp;$C25&amp;"'!$A:$A"),0))</f>
        <v>0.95582</v>
      </c>
    </row>
    <row r="27" spans="2:17" x14ac:dyDescent="0.35">
      <c r="B27" s="5" t="s">
        <v>293</v>
      </c>
      <c r="C27" s="5" t="s">
        <v>234</v>
      </c>
      <c r="D27" s="7" t="s">
        <v>11</v>
      </c>
      <c r="E27" s="9" cm="1">
        <f t="array" aca="1" ref="E27" ca="1">INDIRECT("'"&amp;$C27&amp;"'!"&amp;E$2&amp;MATCH($D27,INDIRECT("'"&amp;$C27&amp;"'!$A:$A"),0))</f>
        <v>0.91983000000000004</v>
      </c>
      <c r="F27" s="9" cm="1">
        <f t="array" aca="1" ref="F27" ca="1">INDIRECT("'"&amp;$C27&amp;"'!"&amp;F$2&amp;MATCH($D27,INDIRECT("'"&amp;$C27&amp;"'!$A:$A"),0))</f>
        <v>0.92720999999999998</v>
      </c>
      <c r="G27" s="9" cm="1">
        <f t="array" aca="1" ref="G27" ca="1">INDIRECT("'"&amp;$C27&amp;"'!"&amp;G$2&amp;MATCH($D27,INDIRECT("'"&amp;$C27&amp;"'!$A:$A"),0))</f>
        <v>0.73928000000000005</v>
      </c>
      <c r="H27" s="9"/>
      <c r="I27" s="6" cm="1">
        <f t="array" aca="1" ref="I27" ca="1">INDIRECT("'"&amp;$C27&amp;"'!"&amp;I$2&amp;MATCH($D27,INDIRECT("'"&amp;$C27&amp;"'!$A:$A"),0))</f>
        <v>1607</v>
      </c>
      <c r="J27" s="7"/>
      <c r="K27" s="7"/>
      <c r="L27" s="7"/>
      <c r="M27" s="7"/>
      <c r="N27" s="9" cm="1">
        <f t="array" aca="1" ref="N27" ca="1">INDIRECT("'"&amp;$C27&amp;"'!"&amp;N$2&amp;MATCH($D27,INDIRECT("'"&amp;$C27&amp;"'!$A:$A"),0))</f>
        <v>0.91910000000000003</v>
      </c>
      <c r="O27" s="6" cm="1">
        <f t="array" aca="1" ref="O27" ca="1">INDIRECT("'"&amp;$C27&amp;"'!"&amp;O$2&amp;MATCH($D27,INDIRECT("'"&amp;$C27&amp;"'!$A:$A"),0))</f>
        <v>0</v>
      </c>
      <c r="P27" s="6" cm="1">
        <f t="array" aca="1" ref="P27" ca="1">INDIRECT("'"&amp;$C27&amp;"'!"&amp;P$2&amp;MATCH($D27,INDIRECT("'"&amp;$C27&amp;"'!$A:$A"),0))</f>
        <v>0</v>
      </c>
    </row>
    <row r="28" spans="2:17" x14ac:dyDescent="0.35">
      <c r="B28" s="5" t="s">
        <v>293</v>
      </c>
      <c r="C28" s="5" t="s">
        <v>234</v>
      </c>
      <c r="D28" s="7">
        <v>0</v>
      </c>
      <c r="E28" s="9" cm="1">
        <f t="array" aca="1" ref="E28" ca="1">INDIRECT("'"&amp;$C28&amp;"'!"&amp;E$2&amp;MATCH($D28,INDIRECT("'"&amp;$C28&amp;"'!$A:$A"),0))</f>
        <v>0.47541</v>
      </c>
      <c r="F28" s="9" cm="1">
        <f t="array" aca="1" ref="F28" ca="1">INDIRECT("'"&amp;$C28&amp;"'!"&amp;F$2&amp;MATCH($D28,INDIRECT("'"&amp;$C28&amp;"'!$A:$A"),0))</f>
        <v>0.76315999999999995</v>
      </c>
      <c r="G28" s="9" cm="1">
        <f t="array" aca="1" ref="G28" ca="1">INDIRECT("'"&amp;$C28&amp;"'!"&amp;G$2&amp;MATCH($D28,INDIRECT("'"&amp;$C28&amp;"'!$A:$A"),0))</f>
        <v>0.58586000000000005</v>
      </c>
      <c r="H28" s="9"/>
      <c r="I28" s="6" cm="1">
        <f t="array" aca="1" ref="I28" ca="1">INDIRECT("'"&amp;$C28&amp;"'!"&amp;I$2&amp;MATCH($D28,INDIRECT("'"&amp;$C28&amp;"'!$A:$A"),0))</f>
        <v>38</v>
      </c>
      <c r="J28" s="6" cm="1">
        <f t="array" aca="1" ref="J28" ca="1">INDIRECT("'"&amp;$C28&amp;"'!"&amp;J$2&amp;MATCH($D28,INDIRECT("'"&amp;$C28&amp;"'!$A:$A"),0))</f>
        <v>29</v>
      </c>
      <c r="K28" s="6" cm="1">
        <f t="array" aca="1" ref="K28" ca="1">INDIRECT("'"&amp;$C28&amp;"'!"&amp;K$2&amp;MATCH($D28,INDIRECT("'"&amp;$C28&amp;"'!$A:$A"),0))</f>
        <v>32</v>
      </c>
      <c r="L28" s="6" cm="1">
        <f t="array" aca="1" ref="L28" ca="1">INDIRECT("'"&amp;$C28&amp;"'!"&amp;L$2&amp;MATCH($D28,INDIRECT("'"&amp;$C28&amp;"'!$A:$A"),0))</f>
        <v>9</v>
      </c>
      <c r="Q28" s="5" t="s">
        <v>294</v>
      </c>
    </row>
    <row r="29" spans="2:17" x14ac:dyDescent="0.35">
      <c r="B29" s="5" t="s">
        <v>293</v>
      </c>
      <c r="C29" s="5" t="s">
        <v>234</v>
      </c>
      <c r="D29" s="7">
        <v>1</v>
      </c>
      <c r="E29" s="9" cm="1">
        <f t="array" aca="1" ref="E29" ca="1">INDIRECT("'"&amp;$C29&amp;"'!"&amp;E$2&amp;MATCH($D29,INDIRECT("'"&amp;$C29&amp;"'!$A:$A"),0))</f>
        <v>0.65454999999999997</v>
      </c>
      <c r="F29" s="9" cm="1">
        <f t="array" aca="1" ref="F29" ca="1">INDIRECT("'"&amp;$C29&amp;"'!"&amp;F$2&amp;MATCH($D29,INDIRECT("'"&amp;$C29&amp;"'!$A:$A"),0))</f>
        <v>0.94737000000000005</v>
      </c>
      <c r="G29" s="9" cm="1">
        <f t="array" aca="1" ref="G29" ca="1">INDIRECT("'"&amp;$C29&amp;"'!"&amp;G$2&amp;MATCH($D29,INDIRECT("'"&amp;$C29&amp;"'!$A:$A"),0))</f>
        <v>0.77419000000000004</v>
      </c>
      <c r="H29" s="9"/>
      <c r="I29" s="6" cm="1">
        <f t="array" aca="1" ref="I29" ca="1">INDIRECT("'"&amp;$C29&amp;"'!"&amp;I$2&amp;MATCH($D29,INDIRECT("'"&amp;$C29&amp;"'!$A:$A"),0))</f>
        <v>38</v>
      </c>
      <c r="J29" s="6" cm="1">
        <f t="array" aca="1" ref="J29" ca="1">INDIRECT("'"&amp;$C29&amp;"'!"&amp;J$2&amp;MATCH($D29,INDIRECT("'"&amp;$C29&amp;"'!$A:$A"),0))</f>
        <v>36</v>
      </c>
      <c r="K29" s="6" cm="1">
        <f t="array" aca="1" ref="K29" ca="1">INDIRECT("'"&amp;$C29&amp;"'!"&amp;K$2&amp;MATCH($D29,INDIRECT("'"&amp;$C29&amp;"'!$A:$A"),0))</f>
        <v>19</v>
      </c>
      <c r="L29" s="6" cm="1">
        <f t="array" aca="1" ref="L29" ca="1">INDIRECT("'"&amp;$C29&amp;"'!"&amp;L$2&amp;MATCH($D29,INDIRECT("'"&amp;$C29&amp;"'!$A:$A"),0))</f>
        <v>2</v>
      </c>
      <c r="Q29" s="5" t="s">
        <v>295</v>
      </c>
    </row>
    <row r="30" spans="2:17" x14ac:dyDescent="0.35">
      <c r="B30" s="5" t="s">
        <v>293</v>
      </c>
      <c r="C30" s="5" t="s">
        <v>234</v>
      </c>
      <c r="D30" s="7">
        <v>2</v>
      </c>
      <c r="E30" s="9" cm="1">
        <f t="array" aca="1" ref="E30" ca="1">INDIRECT("'"&amp;$C30&amp;"'!"&amp;E$2&amp;MATCH($D30,INDIRECT("'"&amp;$C30&amp;"'!$A:$A"),0))</f>
        <v>0.54386000000000001</v>
      </c>
      <c r="F30" s="9" cm="1">
        <f t="array" aca="1" ref="F30" ca="1">INDIRECT("'"&amp;$C30&amp;"'!"&amp;F$2&amp;MATCH($D30,INDIRECT("'"&amp;$C30&amp;"'!$A:$A"),0))</f>
        <v>0.81579000000000002</v>
      </c>
      <c r="G30" s="9" cm="1">
        <f t="array" aca="1" ref="G30" ca="1">INDIRECT("'"&amp;$C30&amp;"'!"&amp;G$2&amp;MATCH($D30,INDIRECT("'"&amp;$C30&amp;"'!$A:$A"),0))</f>
        <v>0.65263000000000004</v>
      </c>
      <c r="H30" s="9"/>
      <c r="I30" s="6" cm="1">
        <f t="array" aca="1" ref="I30" ca="1">INDIRECT("'"&amp;$C30&amp;"'!"&amp;I$2&amp;MATCH($D30,INDIRECT("'"&amp;$C30&amp;"'!$A:$A"),0))</f>
        <v>38</v>
      </c>
      <c r="J30" s="6" cm="1">
        <f t="array" aca="1" ref="J30" ca="1">INDIRECT("'"&amp;$C30&amp;"'!"&amp;J$2&amp;MATCH($D30,INDIRECT("'"&amp;$C30&amp;"'!$A:$A"),0))</f>
        <v>31</v>
      </c>
      <c r="K30" s="6" cm="1">
        <f t="array" aca="1" ref="K30" ca="1">INDIRECT("'"&amp;$C30&amp;"'!"&amp;K$2&amp;MATCH($D30,INDIRECT("'"&amp;$C30&amp;"'!$A:$A"),0))</f>
        <v>26</v>
      </c>
      <c r="L30" s="6" cm="1">
        <f t="array" aca="1" ref="L30" ca="1">INDIRECT("'"&amp;$C30&amp;"'!"&amp;L$2&amp;MATCH($D30,INDIRECT("'"&amp;$C30&amp;"'!$A:$A"),0))</f>
        <v>7</v>
      </c>
      <c r="Q30" s="5" t="s">
        <v>296</v>
      </c>
    </row>
    <row r="31" spans="2:17" x14ac:dyDescent="0.35">
      <c r="B31" s="5" t="s">
        <v>293</v>
      </c>
      <c r="C31" s="5" t="s">
        <v>234</v>
      </c>
      <c r="D31" s="7">
        <v>3</v>
      </c>
      <c r="E31" s="9" cm="1">
        <f t="array" aca="1" ref="E31" ca="1">INDIRECT("'"&amp;$C31&amp;"'!"&amp;E$2&amp;MATCH($D31,INDIRECT("'"&amp;$C31&amp;"'!$A:$A"),0))</f>
        <v>0.54544999999999999</v>
      </c>
      <c r="F31" s="9" cm="1">
        <f t="array" aca="1" ref="F31" ca="1">INDIRECT("'"&amp;$C31&amp;"'!"&amp;F$2&amp;MATCH($D31,INDIRECT("'"&amp;$C31&amp;"'!$A:$A"),0))</f>
        <v>0.92308000000000001</v>
      </c>
      <c r="G31" s="9" cm="1">
        <f t="array" aca="1" ref="G31" ca="1">INDIRECT("'"&amp;$C31&amp;"'!"&amp;G$2&amp;MATCH($D31,INDIRECT("'"&amp;$C31&amp;"'!$A:$A"),0))</f>
        <v>0.68571000000000004</v>
      </c>
      <c r="H31" s="9"/>
      <c r="I31" s="6" cm="1">
        <f t="array" aca="1" ref="I31" ca="1">INDIRECT("'"&amp;$C31&amp;"'!"&amp;I$2&amp;MATCH($D31,INDIRECT("'"&amp;$C31&amp;"'!$A:$A"),0))</f>
        <v>13</v>
      </c>
      <c r="J31" s="6" cm="1">
        <f t="array" aca="1" ref="J31" ca="1">INDIRECT("'"&amp;$C31&amp;"'!"&amp;J$2&amp;MATCH($D31,INDIRECT("'"&amp;$C31&amp;"'!$A:$A"),0))</f>
        <v>12</v>
      </c>
      <c r="K31" s="6" cm="1">
        <f t="array" aca="1" ref="K31" ca="1">INDIRECT("'"&amp;$C31&amp;"'!"&amp;K$2&amp;MATCH($D31,INDIRECT("'"&amp;$C31&amp;"'!$A:$A"),0))</f>
        <v>10</v>
      </c>
      <c r="L31" s="6" cm="1">
        <f t="array" aca="1" ref="L31" ca="1">INDIRECT("'"&amp;$C31&amp;"'!"&amp;L$2&amp;MATCH($D31,INDIRECT("'"&amp;$C31&amp;"'!$A:$A"),0))</f>
        <v>1</v>
      </c>
      <c r="Q31" s="5" t="s">
        <v>297</v>
      </c>
    </row>
    <row r="32" spans="2:17" x14ac:dyDescent="0.35">
      <c r="B32" s="5" t="s">
        <v>293</v>
      </c>
      <c r="C32" s="5" t="s">
        <v>234</v>
      </c>
      <c r="D32" s="7">
        <v>4</v>
      </c>
      <c r="E32" s="9" cm="1">
        <f t="array" aca="1" ref="E32" ca="1">INDIRECT("'"&amp;$C32&amp;"'!"&amp;E$2&amp;MATCH($D32,INDIRECT("'"&amp;$C32&amp;"'!$A:$A"),0))</f>
        <v>0.61765000000000003</v>
      </c>
      <c r="F32" s="9" cm="1">
        <f t="array" aca="1" ref="F32" ca="1">INDIRECT("'"&amp;$C32&amp;"'!"&amp;F$2&amp;MATCH($D32,INDIRECT("'"&amp;$C32&amp;"'!$A:$A"),0))</f>
        <v>0.91303999999999996</v>
      </c>
      <c r="G32" s="9" cm="1">
        <f t="array" aca="1" ref="G32" ca="1">INDIRECT("'"&amp;$C32&amp;"'!"&amp;G$2&amp;MATCH($D32,INDIRECT("'"&amp;$C32&amp;"'!$A:$A"),0))</f>
        <v>0.73684000000000005</v>
      </c>
      <c r="H32" s="9"/>
      <c r="I32" s="6" cm="1">
        <f t="array" aca="1" ref="I32" ca="1">INDIRECT("'"&amp;$C32&amp;"'!"&amp;I$2&amp;MATCH($D32,INDIRECT("'"&amp;$C32&amp;"'!$A:$A"),0))</f>
        <v>23</v>
      </c>
      <c r="J32" s="6" cm="1">
        <f t="array" aca="1" ref="J32" ca="1">INDIRECT("'"&amp;$C32&amp;"'!"&amp;J$2&amp;MATCH($D32,INDIRECT("'"&amp;$C32&amp;"'!$A:$A"),0))</f>
        <v>21</v>
      </c>
      <c r="K32" s="6" cm="1">
        <f t="array" aca="1" ref="K32" ca="1">INDIRECT("'"&amp;$C32&amp;"'!"&amp;K$2&amp;MATCH($D32,INDIRECT("'"&amp;$C32&amp;"'!$A:$A"),0))</f>
        <v>13</v>
      </c>
      <c r="L32" s="6" cm="1">
        <f t="array" aca="1" ref="L32" ca="1">INDIRECT("'"&amp;$C32&amp;"'!"&amp;L$2&amp;MATCH($D32,INDIRECT("'"&amp;$C32&amp;"'!$A:$A"),0))</f>
        <v>2</v>
      </c>
      <c r="Q32" s="5" t="s">
        <v>298</v>
      </c>
    </row>
    <row r="33" spans="2:17" x14ac:dyDescent="0.35">
      <c r="B33" s="5" t="s">
        <v>293</v>
      </c>
      <c r="C33" s="5" t="s">
        <v>234</v>
      </c>
      <c r="D33" s="7">
        <v>5</v>
      </c>
      <c r="E33" s="9" cm="1">
        <f t="array" aca="1" ref="E33" ca="1">INDIRECT("'"&amp;$C33&amp;"'!"&amp;E$2&amp;MATCH($D33,INDIRECT("'"&amp;$C33&amp;"'!$A:$A"),0))</f>
        <v>0.85714000000000001</v>
      </c>
      <c r="F33" s="9" cm="1">
        <f t="array" aca="1" ref="F33" ca="1">INDIRECT("'"&amp;$C33&amp;"'!"&amp;F$2&amp;MATCH($D33,INDIRECT("'"&amp;$C33&amp;"'!$A:$A"),0))</f>
        <v>0.92308000000000001</v>
      </c>
      <c r="G33" s="9" cm="1">
        <f t="array" aca="1" ref="G33" ca="1">INDIRECT("'"&amp;$C33&amp;"'!"&amp;G$2&amp;MATCH($D33,INDIRECT("'"&amp;$C33&amp;"'!$A:$A"),0))</f>
        <v>0.88888999999999996</v>
      </c>
      <c r="H33" s="9"/>
      <c r="I33" s="6" cm="1">
        <f t="array" aca="1" ref="I33" ca="1">INDIRECT("'"&amp;$C33&amp;"'!"&amp;I$2&amp;MATCH($D33,INDIRECT("'"&amp;$C33&amp;"'!$A:$A"),0))</f>
        <v>13</v>
      </c>
      <c r="J33" s="6" cm="1">
        <f t="array" aca="1" ref="J33" ca="1">INDIRECT("'"&amp;$C33&amp;"'!"&amp;J$2&amp;MATCH($D33,INDIRECT("'"&amp;$C33&amp;"'!$A:$A"),0))</f>
        <v>12</v>
      </c>
      <c r="K33" s="6" cm="1">
        <f t="array" aca="1" ref="K33" ca="1">INDIRECT("'"&amp;$C33&amp;"'!"&amp;K$2&amp;MATCH($D33,INDIRECT("'"&amp;$C33&amp;"'!$A:$A"),0))</f>
        <v>2</v>
      </c>
      <c r="L33" s="6" cm="1">
        <f t="array" aca="1" ref="L33" ca="1">INDIRECT("'"&amp;$C33&amp;"'!"&amp;L$2&amp;MATCH($D33,INDIRECT("'"&amp;$C33&amp;"'!$A:$A"),0))</f>
        <v>1</v>
      </c>
      <c r="Q33" s="5" t="s">
        <v>299</v>
      </c>
    </row>
    <row r="34" spans="2:17" x14ac:dyDescent="0.35">
      <c r="B34" s="5" t="s">
        <v>293</v>
      </c>
      <c r="C34" s="5" t="s">
        <v>234</v>
      </c>
      <c r="D34" s="7">
        <v>6</v>
      </c>
      <c r="E34" s="9" cm="1">
        <f t="array" aca="1" ref="E34" ca="1">INDIRECT("'"&amp;$C34&amp;"'!"&amp;E$2&amp;MATCH($D34,INDIRECT("'"&amp;$C34&amp;"'!$A:$A"),0))</f>
        <v>0.84211000000000003</v>
      </c>
      <c r="F34" s="9" cm="1">
        <f t="array" aca="1" ref="F34" ca="1">INDIRECT("'"&amp;$C34&amp;"'!"&amp;F$2&amp;MATCH($D34,INDIRECT("'"&amp;$C34&amp;"'!$A:$A"),0))</f>
        <v>1</v>
      </c>
      <c r="G34" s="9" cm="1">
        <f t="array" aca="1" ref="G34" ca="1">INDIRECT("'"&amp;$C34&amp;"'!"&amp;G$2&amp;MATCH($D34,INDIRECT("'"&amp;$C34&amp;"'!$A:$A"),0))</f>
        <v>0.91429000000000005</v>
      </c>
      <c r="H34" s="9"/>
      <c r="I34" s="6" cm="1">
        <f t="array" aca="1" ref="I34" ca="1">INDIRECT("'"&amp;$C34&amp;"'!"&amp;I$2&amp;MATCH($D34,INDIRECT("'"&amp;$C34&amp;"'!$A:$A"),0))</f>
        <v>16</v>
      </c>
      <c r="J34" s="6" cm="1">
        <f t="array" aca="1" ref="J34" ca="1">INDIRECT("'"&amp;$C34&amp;"'!"&amp;J$2&amp;MATCH($D34,INDIRECT("'"&amp;$C34&amp;"'!$A:$A"),0))</f>
        <v>16</v>
      </c>
      <c r="K34" s="6" cm="1">
        <f t="array" aca="1" ref="K34" ca="1">INDIRECT("'"&amp;$C34&amp;"'!"&amp;K$2&amp;MATCH($D34,INDIRECT("'"&amp;$C34&amp;"'!$A:$A"),0))</f>
        <v>3</v>
      </c>
      <c r="L34" s="6" cm="1">
        <f t="array" aca="1" ref="L34" ca="1">INDIRECT("'"&amp;$C34&amp;"'!"&amp;L$2&amp;MATCH($D34,INDIRECT("'"&amp;$C34&amp;"'!$A:$A"),0))</f>
        <v>0</v>
      </c>
      <c r="Q34" s="5" t="s">
        <v>300</v>
      </c>
    </row>
    <row r="35" spans="2:17" x14ac:dyDescent="0.35">
      <c r="B35" s="5" t="s">
        <v>293</v>
      </c>
      <c r="C35" s="5" t="s">
        <v>234</v>
      </c>
      <c r="D35" s="7">
        <v>7</v>
      </c>
      <c r="E35" s="9" cm="1">
        <f t="array" aca="1" ref="E35" ca="1">INDIRECT("'"&amp;$C35&amp;"'!"&amp;E$2&amp;MATCH($D35,INDIRECT("'"&amp;$C35&amp;"'!$A:$A"),0))</f>
        <v>0.33333000000000002</v>
      </c>
      <c r="F35" s="9" cm="1">
        <f t="array" aca="1" ref="F35" ca="1">INDIRECT("'"&amp;$C35&amp;"'!"&amp;F$2&amp;MATCH($D35,INDIRECT("'"&amp;$C35&amp;"'!$A:$A"),0))</f>
        <v>0.71428999999999998</v>
      </c>
      <c r="G35" s="9" cm="1">
        <f t="array" aca="1" ref="G35" ca="1">INDIRECT("'"&amp;$C35&amp;"'!"&amp;G$2&amp;MATCH($D35,INDIRECT("'"&amp;$C35&amp;"'!$A:$A"),0))</f>
        <v>0.45455000000000001</v>
      </c>
      <c r="H35" s="9"/>
      <c r="I35" s="6" cm="1">
        <f t="array" aca="1" ref="I35" ca="1">INDIRECT("'"&amp;$C35&amp;"'!"&amp;I$2&amp;MATCH($D35,INDIRECT("'"&amp;$C35&amp;"'!$A:$A"),0))</f>
        <v>7</v>
      </c>
      <c r="J35" s="6" cm="1">
        <f t="array" aca="1" ref="J35" ca="1">INDIRECT("'"&amp;$C35&amp;"'!"&amp;J$2&amp;MATCH($D35,INDIRECT("'"&amp;$C35&amp;"'!$A:$A"),0))</f>
        <v>5</v>
      </c>
      <c r="K35" s="6" cm="1">
        <f t="array" aca="1" ref="K35" ca="1">INDIRECT("'"&amp;$C35&amp;"'!"&amp;K$2&amp;MATCH($D35,INDIRECT("'"&amp;$C35&amp;"'!$A:$A"),0))</f>
        <v>10</v>
      </c>
      <c r="L35" s="6" cm="1">
        <f t="array" aca="1" ref="L35" ca="1">INDIRECT("'"&amp;$C35&amp;"'!"&amp;L$2&amp;MATCH($D35,INDIRECT("'"&amp;$C35&amp;"'!$A:$A"),0))</f>
        <v>2</v>
      </c>
      <c r="Q35" s="5" t="s">
        <v>301</v>
      </c>
    </row>
    <row r="36" spans="2:17" x14ac:dyDescent="0.35">
      <c r="B36" s="5" t="s">
        <v>293</v>
      </c>
      <c r="C36" s="5" t="s">
        <v>234</v>
      </c>
      <c r="D36" s="7">
        <v>8</v>
      </c>
      <c r="E36" s="9" cm="1">
        <f t="array" aca="1" ref="E36" ca="1">INDIRECT("'"&amp;$C36&amp;"'!"&amp;E$2&amp;MATCH($D36,INDIRECT("'"&amp;$C36&amp;"'!$A:$A"),0))</f>
        <v>0.98821000000000003</v>
      </c>
      <c r="F36" s="9" cm="1">
        <f t="array" aca="1" ref="F36" ca="1">INDIRECT("'"&amp;$C36&amp;"'!"&amp;F$2&amp;MATCH($D36,INDIRECT("'"&amp;$C36&amp;"'!$A:$A"),0))</f>
        <v>0.93449000000000004</v>
      </c>
      <c r="G36" s="9" cm="1">
        <f t="array" aca="1" ref="G36" ca="1">INDIRECT("'"&amp;$C36&amp;"'!"&amp;G$2&amp;MATCH($D36,INDIRECT("'"&amp;$C36&amp;"'!$A:$A"),0))</f>
        <v>0.96060000000000001</v>
      </c>
      <c r="H36" s="9"/>
      <c r="I36" s="6" cm="1">
        <f t="array" aca="1" ref="I36" ca="1">INDIRECT("'"&amp;$C36&amp;"'!"&amp;I$2&amp;MATCH($D36,INDIRECT("'"&amp;$C36&amp;"'!$A:$A"),0))</f>
        <v>1435</v>
      </c>
      <c r="J36" s="6" cm="1">
        <f t="array" aca="1" ref="J36" ca="1">INDIRECT("'"&amp;$C36&amp;"'!"&amp;J$2&amp;MATCH($D36,INDIRECT("'"&amp;$C36&amp;"'!$A:$A"),0))</f>
        <v>1341</v>
      </c>
      <c r="K36" s="6" cm="1">
        <f t="array" aca="1" ref="K36" ca="1">INDIRECT("'"&amp;$C36&amp;"'!"&amp;K$2&amp;MATCH($D36,INDIRECT("'"&amp;$C36&amp;"'!$A:$A"),0))</f>
        <v>16</v>
      </c>
      <c r="L36" s="6" cm="1">
        <f t="array" aca="1" ref="L36" ca="1">INDIRECT("'"&amp;$C36&amp;"'!"&amp;L$2&amp;MATCH($D36,INDIRECT("'"&amp;$C36&amp;"'!$A:$A"),0))</f>
        <v>94</v>
      </c>
      <c r="Q36" s="5" t="s">
        <v>302</v>
      </c>
    </row>
    <row r="37" spans="2:17" x14ac:dyDescent="0.35">
      <c r="B37" s="5" t="s">
        <v>293</v>
      </c>
      <c r="C37" s="5" t="s">
        <v>234</v>
      </c>
      <c r="D37" s="7" t="s">
        <v>16</v>
      </c>
      <c r="E37" s="9" cm="1">
        <f t="array" aca="1" ref="E37" ca="1">INDIRECT("'"&amp;$C37&amp;"'!"&amp;E$2&amp;MATCH($D37,INDIRECT("'"&amp;$C37&amp;"'!$A:$A"),0))</f>
        <v>0.624</v>
      </c>
      <c r="F37" s="9" cm="1">
        <f t="array" aca="1" ref="F37" ca="1">INDIRECT("'"&amp;$C37&amp;"'!"&amp;F$2&amp;MATCH($D37,INDIRECT("'"&amp;$C37&amp;"'!$A:$A"),0))</f>
        <v>0.90698000000000001</v>
      </c>
      <c r="G37" s="9" cm="1">
        <f t="array" aca="1" ref="G37" ca="1">INDIRECT("'"&amp;$C37&amp;"'!"&amp;G$2&amp;MATCH($D37,INDIRECT("'"&amp;$C37&amp;"'!$A:$A"),0))</f>
        <v>0.73934</v>
      </c>
      <c r="H37" s="9"/>
      <c r="J37" s="6" cm="1">
        <f t="array" aca="1" ref="J37" ca="1">INDIRECT("'"&amp;$C37&amp;"'!"&amp;J$2&amp;MATCH($D37,INDIRECT("'"&amp;$C37&amp;"'!$A:$A"),0))</f>
        <v>156</v>
      </c>
      <c r="K37" s="6" cm="1">
        <f t="array" aca="1" ref="K37" ca="1">INDIRECT("'"&amp;$C37&amp;"'!"&amp;K$2&amp;MATCH($D37,INDIRECT("'"&amp;$C37&amp;"'!$A:$A"),0))</f>
        <v>94</v>
      </c>
      <c r="L37" s="6" cm="1">
        <f t="array" aca="1" ref="L37" ca="1">INDIRECT("'"&amp;$C37&amp;"'!"&amp;L$2&amp;MATCH($D37,INDIRECT("'"&amp;$C37&amp;"'!$A:$A"),0))</f>
        <v>16</v>
      </c>
      <c r="M37" s="6" cm="1">
        <f t="array" aca="1" ref="M37" ca="1">INDIRECT("'"&amp;$C37&amp;"'!"&amp;M$2&amp;MATCH($D37,INDIRECT("'"&amp;$C37&amp;"'!$A:$A"),0))</f>
        <v>1341</v>
      </c>
      <c r="N37" s="9" cm="1">
        <f t="array" aca="1" ref="N37" ca="1">INDIRECT("'"&amp;$C37&amp;"'!"&amp;N$2&amp;MATCH($D37,INDIRECT("'"&amp;$C37&amp;"'!$A:$A"),0))</f>
        <v>0.93154999999999999</v>
      </c>
    </row>
    <row r="40" spans="2:17" x14ac:dyDescent="0.35">
      <c r="B40" s="24" t="s">
        <v>246</v>
      </c>
      <c r="C40" s="5" t="s">
        <v>249</v>
      </c>
      <c r="D40" s="7" t="s">
        <v>11</v>
      </c>
      <c r="E40" s="9" cm="1">
        <f t="array" aca="1" ref="E40" ca="1">INDIRECT("'"&amp;$C40&amp;"'!"&amp;E$2&amp;MATCH($D40,INDIRECT("'"&amp;$C40&amp;"'!$A:$A"),0))</f>
        <v>0.95931</v>
      </c>
      <c r="F40" s="9" cm="1">
        <f t="array" aca="1" ref="F40" ca="1">INDIRECT("'"&amp;$C40&amp;"'!"&amp;F$2&amp;MATCH($D40,INDIRECT("'"&amp;$C40&amp;"'!$A:$A"),0))</f>
        <v>0.95989999999999998</v>
      </c>
      <c r="G40" s="17" cm="1">
        <f t="array" aca="1" ref="G40" ca="1">INDIRECT("'"&amp;$C40&amp;"'!"&amp;G$2&amp;MATCH($D40,INDIRECT("'"&amp;$C40&amp;"'!$A:$A"),0))</f>
        <v>0.83037000000000005</v>
      </c>
      <c r="H40" s="9" cm="1">
        <f t="array" aca="1" ref="H40" ca="1">INDIRECT("'"&amp;$C40&amp;"'!"&amp;H$2&amp;MATCH($D40,INDIRECT("'"&amp;$C40&amp;"'!$A:$A"),0))</f>
        <v>0.95960999999999996</v>
      </c>
      <c r="I40" s="6" cm="1">
        <f t="array" aca="1" ref="I40" ca="1">INDIRECT("'"&amp;$C40&amp;"'!"&amp;I$2&amp;MATCH($D40,INDIRECT("'"&amp;$C40&amp;"'!$A:$A"),0))</f>
        <v>1607</v>
      </c>
      <c r="J40" s="7"/>
      <c r="K40" s="7"/>
      <c r="L40" s="7"/>
      <c r="M40" s="7"/>
      <c r="N40" s="9" cm="1">
        <f t="array" aca="1" ref="N40" ca="1">INDIRECT("'"&amp;$C40&amp;"'!"&amp;N$2&amp;MATCH($D40,INDIRECT("'"&amp;$C40&amp;"'!$A:$A"),0))</f>
        <v>0.95643999999999996</v>
      </c>
      <c r="O40" s="6" cm="1">
        <f t="array" aca="1" ref="O40" ca="1">INDIRECT("'"&amp;$C40&amp;"'!"&amp;O$2&amp;MATCH($D40,INDIRECT("'"&amp;$C40&amp;"'!$A:$A"),0))</f>
        <v>0</v>
      </c>
      <c r="P40" s="6" cm="1">
        <f t="array" aca="1" ref="P40" ca="1">INDIRECT("'"&amp;$C40&amp;"'!"&amp;P$2&amp;MATCH($D40,INDIRECT("'"&amp;$C40&amp;"'!$A:$A"),0))</f>
        <v>0</v>
      </c>
    </row>
    <row r="41" spans="2:17" x14ac:dyDescent="0.35">
      <c r="B41" s="25" t="s">
        <v>251</v>
      </c>
      <c r="C41" s="5" t="s">
        <v>250</v>
      </c>
      <c r="D41" s="7" t="s">
        <v>11</v>
      </c>
      <c r="E41" s="9" cm="1">
        <f t="array" aca="1" ref="E41" ca="1">INDIRECT("'"&amp;$C41&amp;"'!"&amp;E$2&amp;MATCH($D41,INDIRECT("'"&amp;$C41&amp;"'!$A:$A"),0))</f>
        <v>0.94479000000000002</v>
      </c>
      <c r="F41" s="9" cm="1">
        <f t="array" aca="1" ref="F41" ca="1">INDIRECT("'"&amp;$C41&amp;"'!"&amp;F$2&amp;MATCH($D41,INDIRECT("'"&amp;$C41&amp;"'!$A:$A"),0))</f>
        <v>0.95003000000000004</v>
      </c>
      <c r="G41" s="17" cm="1">
        <f t="array" aca="1" ref="G41" ca="1">INDIRECT("'"&amp;$C41&amp;"'!"&amp;G$2&amp;MATCH($D41,INDIRECT("'"&amp;$C41&amp;"'!$A:$A"),0))</f>
        <v>0.80666000000000004</v>
      </c>
      <c r="H41" s="9" cm="1">
        <f t="array" aca="1" ref="H41" ca="1">INDIRECT("'"&amp;$C41&amp;"'!"&amp;H$2&amp;MATCH($D41,INDIRECT("'"&amp;$C41&amp;"'!$A:$A"),0))</f>
        <v>0.94740000000000002</v>
      </c>
      <c r="I41" s="6" cm="1">
        <f t="array" aca="1" ref="I41" ca="1">INDIRECT("'"&amp;$C41&amp;"'!"&amp;I$2&amp;MATCH($D41,INDIRECT("'"&amp;$C41&amp;"'!$A:$A"),0))</f>
        <v>1607</v>
      </c>
      <c r="J41" s="7"/>
      <c r="K41" s="7"/>
      <c r="L41" s="7"/>
      <c r="M41" s="7"/>
      <c r="N41" s="9" cm="1">
        <f t="array" aca="1" ref="N41" ca="1">INDIRECT("'"&amp;$C41&amp;"'!"&amp;N$2&amp;MATCH($D41,INDIRECT("'"&amp;$C41&amp;"'!$A:$A"),0))</f>
        <v>0.94213000000000002</v>
      </c>
      <c r="O41" s="6" cm="1">
        <f t="array" aca="1" ref="O41" ca="1">INDIRECT("'"&amp;$C41&amp;"'!"&amp;O$2&amp;MATCH($D41,INDIRECT("'"&amp;$C41&amp;"'!$A:$A"),0))</f>
        <v>0</v>
      </c>
      <c r="P41" s="6" cm="1">
        <f t="array" aca="1" ref="P41" ca="1">INDIRECT("'"&amp;$C41&amp;"'!"&amp;P$2&amp;MATCH($D41,INDIRECT("'"&amp;$C41&amp;"'!$A:$A"),0))</f>
        <v>0</v>
      </c>
    </row>
    <row r="42" spans="2:17" hidden="1" outlineLevel="1" x14ac:dyDescent="0.35">
      <c r="B42" s="5" t="s">
        <v>252</v>
      </c>
      <c r="C42" s="5" t="s">
        <v>221</v>
      </c>
      <c r="D42" s="7" t="s">
        <v>11</v>
      </c>
      <c r="E42" s="9" cm="1">
        <f t="array" aca="1" ref="E42" ca="1">INDIRECT("'"&amp;$C42&amp;"'!"&amp;E$2&amp;MATCH($D42,INDIRECT("'"&amp;$C42&amp;"'!$A:$A"),0))</f>
        <v>0.64770000000000005</v>
      </c>
      <c r="F42" s="9" cm="1">
        <f t="array" aca="1" ref="F42" ca="1">INDIRECT("'"&amp;$C42&amp;"'!"&amp;F$2&amp;MATCH($D42,INDIRECT("'"&amp;$C42&amp;"'!$A:$A"),0))</f>
        <v>0.66008999999999995</v>
      </c>
      <c r="G42" s="17" cm="1">
        <f t="array" aca="1" ref="G42" ca="1">INDIRECT("'"&amp;$C42&amp;"'!"&amp;G$2&amp;MATCH($D42,INDIRECT("'"&amp;$C42&amp;"'!$A:$A"),0))</f>
        <v>0.45805000000000001</v>
      </c>
      <c r="H42" s="9" cm="1">
        <f t="array" aca="1" ref="H42" ca="1">INDIRECT("'"&amp;$C42&amp;"'!"&amp;H$2&amp;MATCH($D42,INDIRECT("'"&amp;$C42&amp;"'!$A:$A"),0))</f>
        <v>0.65383000000000002</v>
      </c>
      <c r="I42" s="6" cm="1">
        <f t="array" aca="1" ref="I42" ca="1">INDIRECT("'"&amp;$C42&amp;"'!"&amp;I$2&amp;MATCH($D42,INDIRECT("'"&amp;$C42&amp;"'!$A:$A"),0))</f>
        <v>1607</v>
      </c>
      <c r="J42" s="7"/>
      <c r="K42" s="7"/>
      <c r="L42" s="7"/>
      <c r="M42" s="7"/>
      <c r="N42" s="9" cm="1">
        <f t="array" aca="1" ref="N42" ca="1">INDIRECT("'"&amp;$C42&amp;"'!"&amp;N$2&amp;MATCH($D42,INDIRECT("'"&amp;$C42&amp;"'!$A:$A"),0))</f>
        <v>0.64717000000000002</v>
      </c>
      <c r="O42" s="6" cm="1">
        <f t="array" aca="1" ref="O42" ca="1">INDIRECT("'"&amp;$C42&amp;"'!"&amp;O$2&amp;MATCH($D42,INDIRECT("'"&amp;$C42&amp;"'!$A:$A"),0))</f>
        <v>0</v>
      </c>
      <c r="P42" s="6" cm="1">
        <f t="array" aca="1" ref="P42" ca="1">INDIRECT("'"&amp;$C42&amp;"'!"&amp;P$2&amp;MATCH($D42,INDIRECT("'"&amp;$C42&amp;"'!$A:$A"),0))</f>
        <v>0</v>
      </c>
    </row>
    <row r="43" spans="2:17" hidden="1" outlineLevel="1" x14ac:dyDescent="0.35">
      <c r="B43" s="5" t="s">
        <v>254</v>
      </c>
      <c r="C43" s="5" t="s">
        <v>220</v>
      </c>
      <c r="D43" s="7" t="s">
        <v>11</v>
      </c>
      <c r="E43" s="9" cm="1">
        <f t="array" aca="1" ref="E43" ca="1">INDIRECT("'"&amp;$C43&amp;"'!"&amp;E$2&amp;MATCH($D43,INDIRECT("'"&amp;$C43&amp;"'!$A:$A"),0))</f>
        <v>0.63702000000000003</v>
      </c>
      <c r="F43" s="9" cm="1">
        <f t="array" aca="1" ref="F43" ca="1">INDIRECT("'"&amp;$C43&amp;"'!"&amp;F$2&amp;MATCH($D43,INDIRECT("'"&amp;$C43&amp;"'!$A:$A"),0))</f>
        <v>0.65391999999999995</v>
      </c>
      <c r="G43" s="17" cm="1">
        <f t="array" aca="1" ref="G43" ca="1">INDIRECT("'"&amp;$C43&amp;"'!"&amp;G$2&amp;MATCH($D43,INDIRECT("'"&amp;$C43&amp;"'!$A:$A"),0))</f>
        <v>0.43696000000000002</v>
      </c>
      <c r="H43" s="9" cm="1">
        <f t="array" aca="1" ref="H43" ca="1">INDIRECT("'"&amp;$C43&amp;"'!"&amp;H$2&amp;MATCH($D43,INDIRECT("'"&amp;$C43&amp;"'!$A:$A"),0))</f>
        <v>0.64536000000000004</v>
      </c>
      <c r="I43" s="6" cm="1">
        <f t="array" aca="1" ref="I43" ca="1">INDIRECT("'"&amp;$C43&amp;"'!"&amp;I$2&amp;MATCH($D43,INDIRECT("'"&amp;$C43&amp;"'!$A:$A"),0))</f>
        <v>1607</v>
      </c>
      <c r="J43" s="7"/>
      <c r="K43" s="7"/>
      <c r="L43" s="7"/>
      <c r="M43" s="7"/>
      <c r="N43" s="9" cm="1">
        <f t="array" aca="1" ref="N43" ca="1">INDIRECT("'"&amp;$C43&amp;"'!"&amp;N$2&amp;MATCH($D43,INDIRECT("'"&amp;$C43&amp;"'!$A:$A"),0))</f>
        <v>0.63783000000000001</v>
      </c>
      <c r="O43" s="6" cm="1">
        <f t="array" aca="1" ref="O43" ca="1">INDIRECT("'"&amp;$C43&amp;"'!"&amp;O$2&amp;MATCH($D43,INDIRECT("'"&amp;$C43&amp;"'!$A:$A"),0))</f>
        <v>0</v>
      </c>
      <c r="P43" s="6" cm="1">
        <f t="array" aca="1" ref="P43" ca="1">INDIRECT("'"&amp;$C43&amp;"'!"&amp;P$2&amp;MATCH($D43,INDIRECT("'"&amp;$C43&amp;"'!$A:$A"),0))</f>
        <v>0</v>
      </c>
    </row>
    <row r="44" spans="2:17" hidden="1" outlineLevel="1" x14ac:dyDescent="0.35">
      <c r="B44" s="5" t="s">
        <v>253</v>
      </c>
      <c r="C44" s="5" t="s">
        <v>219</v>
      </c>
      <c r="D44" s="7" t="s">
        <v>11</v>
      </c>
      <c r="E44" s="17" cm="1">
        <f t="array" aca="1" ref="E44" ca="1">INDIRECT("'"&amp;$C44&amp;"'!"&amp;E$2&amp;MATCH($D44,INDIRECT("'"&amp;$C44&amp;"'!$A:$A"),0))</f>
        <v>0.76951000000000003</v>
      </c>
      <c r="F44" s="9" cm="1">
        <f t="array" aca="1" ref="F44" ca="1">INDIRECT("'"&amp;$C44&amp;"'!"&amp;F$2&amp;MATCH($D44,INDIRECT("'"&amp;$C44&amp;"'!$A:$A"),0))</f>
        <v>0.77236000000000005</v>
      </c>
      <c r="G44" s="17" cm="1">
        <f t="array" aca="1" ref="G44" ca="1">INDIRECT("'"&amp;$C44&amp;"'!"&amp;G$2&amp;MATCH($D44,INDIRECT("'"&amp;$C44&amp;"'!$A:$A"),0))</f>
        <v>0.53727000000000003</v>
      </c>
      <c r="H44" s="9" cm="1">
        <f t="array" aca="1" ref="H44" ca="1">INDIRECT("'"&amp;$C44&amp;"'!"&amp;H$2&amp;MATCH($D44,INDIRECT("'"&amp;$C44&amp;"'!$A:$A"),0))</f>
        <v>0.77093999999999996</v>
      </c>
      <c r="I44" s="6" cm="1">
        <f t="array" aca="1" ref="I44" ca="1">INDIRECT("'"&amp;$C44&amp;"'!"&amp;I$2&amp;MATCH($D44,INDIRECT("'"&amp;$C44&amp;"'!$A:$A"),0))</f>
        <v>1607</v>
      </c>
      <c r="J44" s="7"/>
      <c r="K44" s="7"/>
      <c r="L44" s="7"/>
      <c r="M44" s="7"/>
      <c r="N44" s="9" cm="1">
        <f t="array" aca="1" ref="N44" ca="1">INDIRECT("'"&amp;$C44&amp;"'!"&amp;N$2&amp;MATCH($D44,INDIRECT("'"&amp;$C44&amp;"'!$A:$A"),0))</f>
        <v>0.76539999999999997</v>
      </c>
      <c r="O44" s="6" cm="1">
        <f t="array" aca="1" ref="O44" ca="1">INDIRECT("'"&amp;$C44&amp;"'!"&amp;O$2&amp;MATCH($D44,INDIRECT("'"&amp;$C44&amp;"'!$A:$A"),0))</f>
        <v>0</v>
      </c>
      <c r="P44" s="6" cm="1">
        <f t="array" aca="1" ref="P44" ca="1">INDIRECT("'"&amp;$C44&amp;"'!"&amp;P$2&amp;MATCH($D44,INDIRECT("'"&amp;$C44&amp;"'!$A:$A"),0))</f>
        <v>0</v>
      </c>
    </row>
    <row r="45" spans="2:17" collapsed="1" x14ac:dyDescent="0.35">
      <c r="B45" s="24" t="s">
        <v>272</v>
      </c>
      <c r="C45" s="5" t="s">
        <v>228</v>
      </c>
      <c r="D45" s="7" t="s">
        <v>11</v>
      </c>
      <c r="E45" s="17" cm="1">
        <f t="array" aca="1" ref="E45" ca="1">INDIRECT("'"&amp;$C45&amp;"'!"&amp;E$2&amp;MATCH($D45,INDIRECT("'"&amp;$C45&amp;"'!$A:$A"),0))</f>
        <v>0.78186</v>
      </c>
      <c r="F45" s="9" cm="1">
        <f t="array" aca="1" ref="F45" ca="1">INDIRECT("'"&amp;$C45&amp;"'!"&amp;F$2&amp;MATCH($D45,INDIRECT("'"&amp;$C45&amp;"'!$A:$A"),0))</f>
        <v>0.78717000000000004</v>
      </c>
      <c r="G45" s="23" cm="1">
        <f t="array" aca="1" ref="G45" ca="1">INDIRECT("'"&amp;$C45&amp;"'!"&amp;G$2&amp;MATCH($D45,INDIRECT("'"&amp;$C45&amp;"'!$A:$A"),0))</f>
        <v>0.53627000000000002</v>
      </c>
      <c r="H45" s="9" cm="1">
        <f t="array" aca="1" ref="H45" ca="1">INDIRECT("'"&amp;$C45&amp;"'!"&amp;H$2&amp;MATCH($D45,INDIRECT("'"&amp;$C45&amp;"'!$A:$A"),0))</f>
        <v>0.78451000000000004</v>
      </c>
      <c r="I45" s="6" cm="1">
        <f t="array" aca="1" ref="I45" ca="1">INDIRECT("'"&amp;$C45&amp;"'!"&amp;I$2&amp;MATCH($D45,INDIRECT("'"&amp;$C45&amp;"'!$A:$A"),0))</f>
        <v>1607</v>
      </c>
      <c r="J45" s="7"/>
      <c r="K45" s="7"/>
      <c r="L45" s="7"/>
      <c r="M45" s="7"/>
      <c r="N45" s="9" cm="1">
        <f t="array" aca="1" ref="N45" ca="1">INDIRECT("'"&amp;$C45&amp;"'!"&amp;N$2&amp;MATCH($D45,INDIRECT("'"&amp;$C45&amp;"'!$A:$A"),0))</f>
        <v>0.77908999999999995</v>
      </c>
      <c r="O45" s="6" cm="1">
        <f t="array" aca="1" ref="O45" ca="1">INDIRECT("'"&amp;$C45&amp;"'!"&amp;O$2&amp;MATCH($D45,INDIRECT("'"&amp;$C45&amp;"'!$A:$A"),0))</f>
        <v>0</v>
      </c>
      <c r="P45" s="6" cm="1">
        <f t="array" aca="1" ref="P45" ca="1">INDIRECT("'"&amp;$C45&amp;"'!"&amp;P$2&amp;MATCH($D45,INDIRECT("'"&amp;$C45&amp;"'!$A:$A"),0))</f>
        <v>0</v>
      </c>
    </row>
    <row r="46" spans="2:17" hidden="1" outlineLevel="1" x14ac:dyDescent="0.35">
      <c r="B46" s="5" t="s">
        <v>255</v>
      </c>
      <c r="C46" s="5" t="s">
        <v>218</v>
      </c>
      <c r="D46" s="7" t="s">
        <v>11</v>
      </c>
      <c r="E46" s="9" cm="1">
        <f t="array" aca="1" ref="E46" ca="1">INDIRECT("'"&amp;$C46&amp;"'!"&amp;E$2&amp;MATCH($D46,INDIRECT("'"&amp;$C46&amp;"'!$A:$A"),0))</f>
        <v>0.50231999999999999</v>
      </c>
      <c r="F46" s="9" cm="1">
        <f t="array" aca="1" ref="F46" ca="1">INDIRECT("'"&amp;$C46&amp;"'!"&amp;F$2&amp;MATCH($D46,INDIRECT("'"&amp;$C46&amp;"'!$A:$A"),0))</f>
        <v>0.53486</v>
      </c>
      <c r="G46" s="17" cm="1">
        <f t="array" aca="1" ref="G46" ca="1">INDIRECT("'"&amp;$C46&amp;"'!"&amp;G$2&amp;MATCH($D46,INDIRECT("'"&amp;$C46&amp;"'!$A:$A"),0))</f>
        <v>0.36101</v>
      </c>
      <c r="H46" s="9" cm="1">
        <f t="array" aca="1" ref="H46" ca="1">INDIRECT("'"&amp;$C46&amp;"'!"&amp;H$2&amp;MATCH($D46,INDIRECT("'"&amp;$C46&amp;"'!$A:$A"),0))</f>
        <v>0.51807999999999998</v>
      </c>
      <c r="I46" s="6" cm="1">
        <f t="array" aca="1" ref="I46" ca="1">INDIRECT("'"&amp;$C46&amp;"'!"&amp;I$2&amp;MATCH($D46,INDIRECT("'"&amp;$C46&amp;"'!$A:$A"),0))</f>
        <v>1607</v>
      </c>
      <c r="J46" s="7"/>
      <c r="K46" s="7"/>
      <c r="L46" s="7"/>
      <c r="M46" s="7"/>
      <c r="N46" s="9" cm="1">
        <f t="array" aca="1" ref="N46" ca="1">INDIRECT("'"&amp;$C46&amp;"'!"&amp;N$2&amp;MATCH($D46,INDIRECT("'"&amp;$C46&amp;"'!$A:$A"),0))</f>
        <v>0.51710999999999996</v>
      </c>
      <c r="O46" s="6" cm="1">
        <f t="array" aca="1" ref="O46" ca="1">INDIRECT("'"&amp;$C46&amp;"'!"&amp;O$2&amp;MATCH($D46,INDIRECT("'"&amp;$C46&amp;"'!$A:$A"),0))</f>
        <v>1</v>
      </c>
      <c r="P46" s="6" cm="1">
        <f t="array" aca="1" ref="P46" ca="1">INDIRECT("'"&amp;$C46&amp;"'!"&amp;P$2&amp;MATCH($D46,INDIRECT("'"&amp;$C46&amp;"'!$A:$A"),0))</f>
        <v>6.2E-4</v>
      </c>
    </row>
    <row r="47" spans="2:17" hidden="1" outlineLevel="1" x14ac:dyDescent="0.35">
      <c r="B47" s="5" t="s">
        <v>256</v>
      </c>
      <c r="C47" s="5" t="s">
        <v>217</v>
      </c>
      <c r="D47" s="7" t="s">
        <v>11</v>
      </c>
      <c r="E47" s="17" cm="1">
        <f t="array" aca="1" ref="E47" ca="1">INDIRECT("'"&amp;$C47&amp;"'!"&amp;E$2&amp;MATCH($D47,INDIRECT("'"&amp;$C47&amp;"'!$A:$A"),0))</f>
        <v>0.6986</v>
      </c>
      <c r="F47" s="9" cm="1">
        <f t="array" aca="1" ref="F47" ca="1">INDIRECT("'"&amp;$C47&amp;"'!"&amp;F$2&amp;MATCH($D47,INDIRECT("'"&amp;$C47&amp;"'!$A:$A"),0))</f>
        <v>0.70635000000000003</v>
      </c>
      <c r="G47" s="17" cm="1">
        <f t="array" aca="1" ref="G47" ca="1">INDIRECT("'"&amp;$C47&amp;"'!"&amp;G$2&amp;MATCH($D47,INDIRECT("'"&amp;$C47&amp;"'!$A:$A"),0))</f>
        <v>0.48443000000000003</v>
      </c>
      <c r="H47" s="9" cm="1">
        <f t="array" aca="1" ref="H47" ca="1">INDIRECT("'"&amp;$C47&amp;"'!"&amp;H$2&amp;MATCH($D47,INDIRECT("'"&amp;$C47&amp;"'!$A:$A"),0))</f>
        <v>0.70245000000000002</v>
      </c>
      <c r="I47" s="6" cm="1">
        <f t="array" aca="1" ref="I47" ca="1">INDIRECT("'"&amp;$C47&amp;"'!"&amp;I$2&amp;MATCH($D47,INDIRECT("'"&amp;$C47&amp;"'!$A:$A"),0))</f>
        <v>1607</v>
      </c>
      <c r="J47" s="7"/>
      <c r="K47" s="7"/>
      <c r="L47" s="7"/>
      <c r="M47" s="7"/>
      <c r="N47" s="9" cm="1">
        <f t="array" aca="1" ref="N47" ca="1">INDIRECT("'"&amp;$C47&amp;"'!"&amp;N$2&amp;MATCH($D47,INDIRECT("'"&amp;$C47&amp;"'!$A:$A"),0))</f>
        <v>0.69633</v>
      </c>
      <c r="O47" s="6" cm="1">
        <f t="array" aca="1" ref="O47" ca="1">INDIRECT("'"&amp;$C47&amp;"'!"&amp;O$2&amp;MATCH($D47,INDIRECT("'"&amp;$C47&amp;"'!$A:$A"),0))</f>
        <v>0</v>
      </c>
      <c r="P47" s="6" cm="1">
        <f t="array" aca="1" ref="P47" ca="1">INDIRECT("'"&amp;$C47&amp;"'!"&amp;P$2&amp;MATCH($D47,INDIRECT("'"&amp;$C47&amp;"'!$A:$A"),0))</f>
        <v>0</v>
      </c>
    </row>
    <row r="48" spans="2:17" hidden="1" outlineLevel="1" x14ac:dyDescent="0.35">
      <c r="B48" s="5" t="s">
        <v>257</v>
      </c>
      <c r="C48" s="5" t="s">
        <v>216</v>
      </c>
      <c r="D48" s="7" t="s">
        <v>11</v>
      </c>
      <c r="E48" s="17" cm="1">
        <f t="array" aca="1" ref="E48" ca="1">INDIRECT("'"&amp;$C48&amp;"'!"&amp;E$2&amp;MATCH($D48,INDIRECT("'"&amp;$C48&amp;"'!$A:$A"),0))</f>
        <v>0.69896000000000003</v>
      </c>
      <c r="F48" s="9" cm="1">
        <f t="array" aca="1" ref="F48" ca="1">INDIRECT("'"&amp;$C48&amp;"'!"&amp;F$2&amp;MATCH($D48,INDIRECT("'"&amp;$C48&amp;"'!$A:$A"),0))</f>
        <v>0.70759000000000005</v>
      </c>
      <c r="G48" s="17" cm="1">
        <f t="array" aca="1" ref="G48" ca="1">INDIRECT("'"&amp;$C48&amp;"'!"&amp;G$2&amp;MATCH($D48,INDIRECT("'"&amp;$C48&amp;"'!$A:$A"),0))</f>
        <v>0.46995999999999999</v>
      </c>
      <c r="H48" s="9" cm="1">
        <f t="array" aca="1" ref="H48" ca="1">INDIRECT("'"&amp;$C48&amp;"'!"&amp;H$2&amp;MATCH($D48,INDIRECT("'"&amp;$C48&amp;"'!$A:$A"),0))</f>
        <v>0.70325000000000004</v>
      </c>
      <c r="I48" s="6" cm="1">
        <f t="array" aca="1" ref="I48" ca="1">INDIRECT("'"&amp;$C48&amp;"'!"&amp;I$2&amp;MATCH($D48,INDIRECT("'"&amp;$C48&amp;"'!$A:$A"),0))</f>
        <v>1607</v>
      </c>
      <c r="J48" s="7"/>
      <c r="K48" s="7"/>
      <c r="L48" s="7"/>
      <c r="M48" s="7"/>
      <c r="N48" s="9" cm="1">
        <f t="array" aca="1" ref="N48" ca="1">INDIRECT("'"&amp;$C48&amp;"'!"&amp;N$2&amp;MATCH($D48,INDIRECT("'"&amp;$C48&amp;"'!$A:$A"),0))</f>
        <v>0.69694999999999996</v>
      </c>
      <c r="O48" s="6" cm="1">
        <f t="array" aca="1" ref="O48" ca="1">INDIRECT("'"&amp;$C48&amp;"'!"&amp;O$2&amp;MATCH($D48,INDIRECT("'"&amp;$C48&amp;"'!$A:$A"),0))</f>
        <v>2</v>
      </c>
      <c r="P48" s="6" cm="1">
        <f t="array" aca="1" ref="P48" ca="1">INDIRECT("'"&amp;$C48&amp;"'!"&amp;P$2&amp;MATCH($D48,INDIRECT("'"&amp;$C48&amp;"'!$A:$A"),0))</f>
        <v>1.24E-3</v>
      </c>
    </row>
    <row r="49" spans="2:16" hidden="1" outlineLevel="1" x14ac:dyDescent="0.35">
      <c r="B49" s="5" t="s">
        <v>258</v>
      </c>
      <c r="C49" s="5" t="s">
        <v>227</v>
      </c>
      <c r="D49" s="7" t="s">
        <v>11</v>
      </c>
      <c r="E49" s="17" cm="1">
        <f t="array" aca="1" ref="E49" ca="1">INDIRECT("'"&amp;$C49&amp;"'!"&amp;E$2&amp;MATCH($D49,INDIRECT("'"&amp;$C49&amp;"'!$A:$A"),0))</f>
        <v>0.72297</v>
      </c>
      <c r="F49" s="9" cm="1">
        <f t="array" aca="1" ref="F49" ca="1">INDIRECT("'"&amp;$C49&amp;"'!"&amp;F$2&amp;MATCH($D49,INDIRECT("'"&amp;$C49&amp;"'!$A:$A"),0))</f>
        <v>0.72609999999999997</v>
      </c>
      <c r="G49" s="17" cm="1">
        <f t="array" aca="1" ref="G49" ca="1">INDIRECT("'"&amp;$C49&amp;"'!"&amp;G$2&amp;MATCH($D49,INDIRECT("'"&amp;$C49&amp;"'!$A:$A"),0))</f>
        <v>0.49403000000000002</v>
      </c>
      <c r="H49" s="9" cm="1">
        <f t="array" aca="1" ref="H49" ca="1">INDIRECT("'"&amp;$C49&amp;"'!"&amp;H$2&amp;MATCH($D49,INDIRECT("'"&amp;$C49&amp;"'!$A:$A"),0))</f>
        <v>0.72453000000000001</v>
      </c>
      <c r="I49" s="6" cm="1">
        <f t="array" aca="1" ref="I49" ca="1">INDIRECT("'"&amp;$C49&amp;"'!"&amp;I$2&amp;MATCH($D49,INDIRECT("'"&amp;$C49&amp;"'!$A:$A"),0))</f>
        <v>1607</v>
      </c>
      <c r="J49" s="7"/>
      <c r="K49" s="7"/>
      <c r="L49" s="7"/>
      <c r="M49" s="7"/>
      <c r="N49" s="9" cm="1">
        <f t="array" aca="1" ref="N49" ca="1">INDIRECT("'"&amp;$C49&amp;"'!"&amp;N$2&amp;MATCH($D49,INDIRECT("'"&amp;$C49&amp;"'!$A:$A"),0))</f>
        <v>0.71686000000000005</v>
      </c>
      <c r="O49" s="6" cm="1">
        <f t="array" aca="1" ref="O49" ca="1">INDIRECT("'"&amp;$C49&amp;"'!"&amp;O$2&amp;MATCH($D49,INDIRECT("'"&amp;$C49&amp;"'!$A:$A"),0))</f>
        <v>0</v>
      </c>
      <c r="P49" s="6" cm="1">
        <f t="array" aca="1" ref="P49" ca="1">INDIRECT("'"&amp;$C49&amp;"'!"&amp;P$2&amp;MATCH($D49,INDIRECT("'"&amp;$C49&amp;"'!$A:$A"),0))</f>
        <v>0</v>
      </c>
    </row>
    <row r="50" spans="2:16" collapsed="1" x14ac:dyDescent="0.35">
      <c r="B50" s="25" t="s">
        <v>260</v>
      </c>
      <c r="C50" s="5" t="s">
        <v>247</v>
      </c>
      <c r="D50" s="7" t="s">
        <v>11</v>
      </c>
      <c r="E50" s="17" cm="1">
        <f t="array" aca="1" ref="E50" ca="1">INDIRECT("'"&amp;$C50&amp;"'!"&amp;E$2&amp;MATCH($D50,INDIRECT("'"&amp;$C50&amp;"'!$A:$A"),0))</f>
        <v>0.87805</v>
      </c>
      <c r="F50" s="9" cm="1">
        <f t="array" aca="1" ref="F50" ca="1">INDIRECT("'"&amp;$C50&amp;"'!"&amp;F$2&amp;MATCH($D50,INDIRECT("'"&amp;$C50&amp;"'!$A:$A"),0))</f>
        <v>0.86612999999999996</v>
      </c>
      <c r="G50" s="17" cm="1">
        <f t="array" aca="1" ref="G50" ca="1">INDIRECT("'"&amp;$C50&amp;"'!"&amp;G$2&amp;MATCH($D50,INDIRECT("'"&amp;$C50&amp;"'!$A:$A"),0))</f>
        <v>0.67820000000000003</v>
      </c>
      <c r="H50" s="9" cm="1">
        <f t="array" aca="1" ref="H50" ca="1">INDIRECT("'"&amp;$C50&amp;"'!"&amp;H$2&amp;MATCH($D50,INDIRECT("'"&amp;$C50&amp;"'!$A:$A"),0))</f>
        <v>0.87204999999999999</v>
      </c>
      <c r="I50" s="6" cm="1">
        <f t="array" aca="1" ref="I50" ca="1">INDIRECT("'"&amp;$C50&amp;"'!"&amp;I$2&amp;MATCH($D50,INDIRECT("'"&amp;$C50&amp;"'!$A:$A"),0))</f>
        <v>1607</v>
      </c>
      <c r="J50" s="7"/>
      <c r="K50" s="7"/>
      <c r="L50" s="7"/>
      <c r="M50" s="7"/>
      <c r="N50" s="9" cm="1">
        <f t="array" aca="1" ref="N50" ca="1">INDIRECT("'"&amp;$C50&amp;"'!"&amp;N$2&amp;MATCH($D50,INDIRECT("'"&amp;$C50&amp;"'!$A:$A"),0))</f>
        <v>0.85811999999999999</v>
      </c>
      <c r="O50" s="6" cm="1">
        <f t="array" aca="1" ref="O50" ca="1">INDIRECT("'"&amp;$C50&amp;"'!"&amp;O$2&amp;MATCH($D50,INDIRECT("'"&amp;$C50&amp;"'!$A:$A"),0))</f>
        <v>33</v>
      </c>
      <c r="P50" s="6" cm="1">
        <f t="array" aca="1" ref="P50" ca="1">INDIRECT("'"&amp;$C50&amp;"'!"&amp;P$2&amp;MATCH($D50,INDIRECT("'"&amp;$C50&amp;"'!$A:$A"),0))</f>
        <v>2.0539999999999999E-2</v>
      </c>
    </row>
    <row r="51" spans="2:16" x14ac:dyDescent="0.35">
      <c r="B51" s="25" t="s">
        <v>261</v>
      </c>
      <c r="C51" s="5" t="s">
        <v>248</v>
      </c>
      <c r="D51" s="7" t="s">
        <v>11</v>
      </c>
      <c r="E51" s="17" cm="1">
        <f t="array" aca="1" ref="E51" ca="1">INDIRECT("'"&amp;$C51&amp;"'!"&amp;E$2&amp;MATCH($D51,INDIRECT("'"&amp;$C51&amp;"'!$A:$A"),0))</f>
        <v>0.90698000000000001</v>
      </c>
      <c r="F51" s="9" cm="1">
        <f t="array" aca="1" ref="F51" ca="1">INDIRECT("'"&amp;$C51&amp;"'!"&amp;F$2&amp;MATCH($D51,INDIRECT("'"&amp;$C51&amp;"'!$A:$A"),0))</f>
        <v>0.91425000000000001</v>
      </c>
      <c r="G51" s="17" cm="1">
        <f t="array" aca="1" ref="G51" ca="1">INDIRECT("'"&amp;$C51&amp;"'!"&amp;G$2&amp;MATCH($D51,INDIRECT("'"&amp;$C51&amp;"'!$A:$A"),0))</f>
        <v>0.71753</v>
      </c>
      <c r="H51" s="9" cm="1">
        <f t="array" aca="1" ref="H51" ca="1">INDIRECT("'"&amp;$C51&amp;"'!"&amp;H$2&amp;MATCH($D51,INDIRECT("'"&amp;$C51&amp;"'!$A:$A"),0))</f>
        <v>0.91059999999999997</v>
      </c>
      <c r="I51" s="6" cm="1">
        <f t="array" aca="1" ref="I51" ca="1">INDIRECT("'"&amp;$C51&amp;"'!"&amp;I$2&amp;MATCH($D51,INDIRECT("'"&amp;$C51&amp;"'!$A:$A"),0))</f>
        <v>1607</v>
      </c>
      <c r="J51" s="7"/>
      <c r="K51" s="7"/>
      <c r="L51" s="7"/>
      <c r="M51" s="7"/>
      <c r="N51" s="9" cm="1">
        <f t="array" aca="1" ref="N51" ca="1">INDIRECT("'"&amp;$C51&amp;"'!"&amp;N$2&amp;MATCH($D51,INDIRECT("'"&amp;$C51&amp;"'!$A:$A"),0))</f>
        <v>0.90666000000000002</v>
      </c>
      <c r="O51" s="6" cm="1">
        <f t="array" aca="1" ref="O51" ca="1">INDIRECT("'"&amp;$C51&amp;"'!"&amp;O$2&amp;MATCH($D51,INDIRECT("'"&amp;$C51&amp;"'!$A:$A"),0))</f>
        <v>0</v>
      </c>
      <c r="P51" s="6" cm="1">
        <f t="array" aca="1" ref="P51" ca="1">INDIRECT("'"&amp;$C51&amp;"'!"&amp;P$2&amp;MATCH($D51,INDIRECT("'"&amp;$C51&amp;"'!$A:$A"),0))</f>
        <v>0</v>
      </c>
    </row>
    <row r="52" spans="2:16" x14ac:dyDescent="0.35">
      <c r="B52" s="24" t="s">
        <v>289</v>
      </c>
      <c r="C52" s="5" t="s">
        <v>286</v>
      </c>
      <c r="D52" s="7" t="s">
        <v>11</v>
      </c>
      <c r="E52" s="17" cm="1">
        <f t="array" aca="1" ref="E52" ca="1">INDIRECT("'"&amp;$C52&amp;"'!"&amp;E$2&amp;MATCH($D52,INDIRECT("'"&amp;$C52&amp;"'!$A:$A"),0))</f>
        <v>0.68127000000000004</v>
      </c>
      <c r="F52" s="9" cm="1">
        <f t="array" aca="1" ref="F52" ca="1">INDIRECT("'"&amp;$C52&amp;"'!"&amp;F$2&amp;MATCH($D52,INDIRECT("'"&amp;$C52&amp;"'!$A:$A"),0))</f>
        <v>0.70018999999999998</v>
      </c>
      <c r="G52" s="17" cm="1">
        <f t="array" aca="1" ref="G52" ca="1">INDIRECT("'"&amp;$C52&amp;"'!"&amp;G$2&amp;MATCH($D52,INDIRECT("'"&amp;$C52&amp;"'!$A:$A"),0))</f>
        <v>0.44107000000000002</v>
      </c>
      <c r="H52" s="9" cm="1">
        <f t="array" aca="1" ref="H52" ca="1">INDIRECT("'"&amp;$C52&amp;"'!"&amp;H$2&amp;MATCH($D52,INDIRECT("'"&amp;$C52&amp;"'!$A:$A"),0))</f>
        <v>0.69059999999999999</v>
      </c>
      <c r="I52" s="6" cm="1">
        <f t="array" aca="1" ref="I52" ca="1">INDIRECT("'"&amp;$C52&amp;"'!"&amp;I$2&amp;MATCH($D52,INDIRECT("'"&amp;$C52&amp;"'!$A:$A"),0))</f>
        <v>1607</v>
      </c>
      <c r="J52" s="7"/>
      <c r="K52" s="7"/>
      <c r="L52" s="7"/>
      <c r="M52" s="7"/>
      <c r="N52" s="9" cm="1">
        <f t="array" aca="1" ref="N52" ca="1">INDIRECT("'"&amp;$C52&amp;"'!"&amp;N$2&amp;MATCH($D52,INDIRECT("'"&amp;$C52&amp;"'!$A:$A"),0))</f>
        <v>0.68574999999999997</v>
      </c>
      <c r="O52" s="6" cm="1">
        <f t="array" aca="1" ref="O52" ca="1">INDIRECT("'"&amp;$C52&amp;"'!"&amp;O$2&amp;MATCH($D52,INDIRECT("'"&amp;$C52&amp;"'!$A:$A"),0))</f>
        <v>0</v>
      </c>
      <c r="P52" s="6" cm="1">
        <f t="array" aca="1" ref="P52" ca="1">INDIRECT("'"&amp;$C52&amp;"'!"&amp;P$2&amp;MATCH($D52,INDIRECT("'"&amp;$C52&amp;"'!$A:$A"),0))</f>
        <v>0</v>
      </c>
    </row>
    <row r="53" spans="2:16" x14ac:dyDescent="0.35">
      <c r="B53" s="25" t="s">
        <v>288</v>
      </c>
      <c r="C53" s="5" t="s">
        <v>285</v>
      </c>
      <c r="D53" s="7" t="s">
        <v>11</v>
      </c>
      <c r="E53" s="17" cm="1">
        <f t="array" aca="1" ref="E53" ca="1">INDIRECT("'"&amp;$C53&amp;"'!"&amp;E$2&amp;MATCH($D53,INDIRECT("'"&amp;$C53&amp;"'!$A:$A"),0))</f>
        <v>0.77171000000000001</v>
      </c>
      <c r="F53" s="9" cm="1">
        <f t="array" aca="1" ref="F53" ca="1">INDIRECT("'"&amp;$C53&amp;"'!"&amp;F$2&amp;MATCH($D53,INDIRECT("'"&amp;$C53&amp;"'!$A:$A"),0))</f>
        <v>0.78408</v>
      </c>
      <c r="G53" s="17" cm="1">
        <f t="array" aca="1" ref="G53" ca="1">INDIRECT("'"&amp;$C53&amp;"'!"&amp;G$2&amp;MATCH($D53,INDIRECT("'"&amp;$C53&amp;"'!$A:$A"),0))</f>
        <v>0.57518000000000002</v>
      </c>
      <c r="H53" s="9" cm="1">
        <f t="array" aca="1" ref="H53" ca="1">INDIRECT("'"&amp;$C53&amp;"'!"&amp;H$2&amp;MATCH($D53,INDIRECT("'"&amp;$C53&amp;"'!$A:$A"),0))</f>
        <v>0.77785000000000004</v>
      </c>
      <c r="I53" s="6" cm="1">
        <f t="array" aca="1" ref="I53" ca="1">INDIRECT("'"&amp;$C53&amp;"'!"&amp;I$2&amp;MATCH($D53,INDIRECT("'"&amp;$C53&amp;"'!$A:$A"),0))</f>
        <v>1607</v>
      </c>
      <c r="J53" s="7"/>
      <c r="K53" s="7"/>
      <c r="L53" s="7"/>
      <c r="M53" s="7"/>
      <c r="N53" s="9" cm="1">
        <f t="array" aca="1" ref="N53" ca="1">INDIRECT("'"&amp;$C53&amp;"'!"&amp;N$2&amp;MATCH($D53,INDIRECT("'"&amp;$C53&amp;"'!$A:$A"),0))</f>
        <v>0.76851000000000003</v>
      </c>
      <c r="O53" s="6" cm="1">
        <f t="array" aca="1" ref="O53" ca="1">INDIRECT("'"&amp;$C53&amp;"'!"&amp;O$2&amp;MATCH($D53,INDIRECT("'"&amp;$C53&amp;"'!$A:$A"),0))</f>
        <v>24</v>
      </c>
      <c r="P53" s="6" cm="1">
        <f t="array" aca="1" ref="P53" ca="1">INDIRECT("'"&amp;$C53&amp;"'!"&amp;P$2&amp;MATCH($D53,INDIRECT("'"&amp;$C53&amp;"'!$A:$A"),0))</f>
        <v>1.4930000000000001E-2</v>
      </c>
    </row>
    <row r="54" spans="2:16" x14ac:dyDescent="0.35">
      <c r="B54" s="25" t="s">
        <v>290</v>
      </c>
      <c r="C54" s="5" t="s">
        <v>287</v>
      </c>
      <c r="D54" s="7" t="s">
        <v>11</v>
      </c>
      <c r="E54" s="17" cm="1">
        <f t="array" aca="1" ref="E54" ca="1">INDIRECT("'"&amp;$C54&amp;"'!"&amp;E$2&amp;MATCH($D54,INDIRECT("'"&amp;$C54&amp;"'!$A:$A"),0))</f>
        <v>0.79015000000000002</v>
      </c>
      <c r="F54" s="9" cm="1">
        <f t="array" aca="1" ref="F54" ca="1">INDIRECT("'"&amp;$C54&amp;"'!"&amp;F$2&amp;MATCH($D54,INDIRECT("'"&amp;$C54&amp;"'!$A:$A"),0))</f>
        <v>0.80135999999999996</v>
      </c>
      <c r="G54" s="17" cm="1">
        <f t="array" aca="1" ref="G54" ca="1">INDIRECT("'"&amp;$C54&amp;"'!"&amp;G$2&amp;MATCH($D54,INDIRECT("'"&amp;$C54&amp;"'!$A:$A"),0))</f>
        <v>0.63136000000000003</v>
      </c>
      <c r="H54" s="9" cm="1">
        <f t="array" aca="1" ref="H54" ca="1">INDIRECT("'"&amp;$C54&amp;"'!"&amp;H$2&amp;MATCH($D54,INDIRECT("'"&amp;$C54&amp;"'!$A:$A"),0))</f>
        <v>0.79571000000000003</v>
      </c>
      <c r="I54" s="6" cm="1">
        <f t="array" aca="1" ref="I54" ca="1">INDIRECT("'"&amp;$C54&amp;"'!"&amp;I$2&amp;MATCH($D54,INDIRECT("'"&amp;$C54&amp;"'!$A:$A"),0))</f>
        <v>1607</v>
      </c>
      <c r="J54" s="7"/>
      <c r="K54" s="7"/>
      <c r="L54" s="7"/>
      <c r="M54" s="7"/>
      <c r="N54" s="9" cm="1">
        <f t="array" aca="1" ref="N54" ca="1">INDIRECT("'"&amp;$C54&amp;"'!"&amp;N$2&amp;MATCH($D54,INDIRECT("'"&amp;$C54&amp;"'!$A:$A"),0))</f>
        <v>0.78966999999999998</v>
      </c>
      <c r="O54" s="6" cm="1">
        <f t="array" aca="1" ref="O54" ca="1">INDIRECT("'"&amp;$C54&amp;"'!"&amp;O$2&amp;MATCH($D54,INDIRECT("'"&amp;$C54&amp;"'!$A:$A"),0))</f>
        <v>1</v>
      </c>
      <c r="P54" s="6" cm="1">
        <f t="array" aca="1" ref="P54" ca="1">INDIRECT("'"&amp;$C54&amp;"'!"&amp;P$2&amp;MATCH($D54,INDIRECT("'"&amp;$C54&amp;"'!$A:$A"),0))</f>
        <v>6.2E-4</v>
      </c>
    </row>
    <row r="55" spans="2:16" hidden="1" outlineLevel="1" x14ac:dyDescent="0.35">
      <c r="B55" s="5" t="s">
        <v>262</v>
      </c>
      <c r="C55" s="5" t="s">
        <v>222</v>
      </c>
      <c r="D55" s="7" t="s">
        <v>11</v>
      </c>
      <c r="E55" s="9" cm="1">
        <f t="array" aca="1" ref="E55" ca="1">INDIRECT("'"&amp;$C55&amp;"'!"&amp;E$2&amp;MATCH($D55,INDIRECT("'"&amp;$C55&amp;"'!$A:$A"),0))</f>
        <v>0.80906</v>
      </c>
      <c r="F55" s="9" cm="1">
        <f t="array" aca="1" ref="F55" ca="1">INDIRECT("'"&amp;$C55&amp;"'!"&amp;F$2&amp;MATCH($D55,INDIRECT("'"&amp;$C55&amp;"'!$A:$A"),0))</f>
        <v>0.81555</v>
      </c>
      <c r="G55" s="17" cm="1">
        <f t="array" aca="1" ref="G55" ca="1">INDIRECT("'"&amp;$C55&amp;"'!"&amp;G$2&amp;MATCH($D55,INDIRECT("'"&amp;$C55&amp;"'!$A:$A"),0))</f>
        <v>0.59262000000000004</v>
      </c>
      <c r="H55" s="9" cm="1">
        <f t="array" aca="1" ref="H55" ca="1">INDIRECT("'"&amp;$C55&amp;"'!"&amp;H$2&amp;MATCH($D55,INDIRECT("'"&amp;$C55&amp;"'!$A:$A"),0))</f>
        <v>0.81228999999999996</v>
      </c>
      <c r="I55" s="6" cm="1">
        <f t="array" aca="1" ref="I55" ca="1">INDIRECT("'"&amp;$C55&amp;"'!"&amp;I$2&amp;MATCH($D55,INDIRECT("'"&amp;$C55&amp;"'!$A:$A"),0))</f>
        <v>1607</v>
      </c>
      <c r="J55" s="7"/>
      <c r="K55" s="7"/>
      <c r="L55" s="7"/>
      <c r="M55" s="7"/>
      <c r="N55" s="9" cm="1">
        <f t="array" aca="1" ref="N55" ca="1">INDIRECT("'"&amp;$C55&amp;"'!"&amp;N$2&amp;MATCH($D55,INDIRECT("'"&amp;$C55&amp;"'!$A:$A"),0))</f>
        <v>0.80584999999999996</v>
      </c>
      <c r="O55" s="6" cm="1">
        <f t="array" aca="1" ref="O55" ca="1">INDIRECT("'"&amp;$C55&amp;"'!"&amp;O$2&amp;MATCH($D55,INDIRECT("'"&amp;$C55&amp;"'!$A:$A"),0))</f>
        <v>0</v>
      </c>
      <c r="P55" s="6" cm="1">
        <f t="array" aca="1" ref="P55" ca="1">INDIRECT("'"&amp;$C55&amp;"'!"&amp;P$2&amp;MATCH($D55,INDIRECT("'"&amp;$C55&amp;"'!$A:$A"),0))</f>
        <v>0</v>
      </c>
    </row>
    <row r="56" spans="2:16" hidden="1" outlineLevel="1" x14ac:dyDescent="0.35">
      <c r="B56" s="5" t="s">
        <v>263</v>
      </c>
      <c r="C56" s="5" t="s">
        <v>223</v>
      </c>
      <c r="D56" s="7" t="s">
        <v>11</v>
      </c>
      <c r="E56" s="9" cm="1">
        <f t="array" aca="1" ref="E56" ca="1">INDIRECT("'"&amp;$C56&amp;"'!"&amp;E$2&amp;MATCH($D56,INDIRECT("'"&amp;$C56&amp;"'!$A:$A"),0))</f>
        <v>0.83640000000000003</v>
      </c>
      <c r="F56" s="9" cm="1">
        <f t="array" aca="1" ref="F56" ca="1">INDIRECT("'"&amp;$C56&amp;"'!"&amp;F$2&amp;MATCH($D56,INDIRECT("'"&amp;$C56&amp;"'!$A:$A"),0))</f>
        <v>0.84206999999999999</v>
      </c>
      <c r="G56" s="17" cm="1">
        <f t="array" aca="1" ref="G56" ca="1">INDIRECT("'"&amp;$C56&amp;"'!"&amp;G$2&amp;MATCH($D56,INDIRECT("'"&amp;$C56&amp;"'!$A:$A"),0))</f>
        <v>0.61534</v>
      </c>
      <c r="H56" s="9" cm="1">
        <f t="array" aca="1" ref="H56" ca="1">INDIRECT("'"&amp;$C56&amp;"'!"&amp;H$2&amp;MATCH($D56,INDIRECT("'"&amp;$C56&amp;"'!$A:$A"),0))</f>
        <v>0.83923000000000003</v>
      </c>
      <c r="I56" s="6" cm="1">
        <f t="array" aca="1" ref="I56" ca="1">INDIRECT("'"&amp;$C56&amp;"'!"&amp;I$2&amp;MATCH($D56,INDIRECT("'"&amp;$C56&amp;"'!$A:$A"),0))</f>
        <v>1607</v>
      </c>
      <c r="J56" s="7"/>
      <c r="K56" s="7"/>
      <c r="L56" s="7"/>
      <c r="M56" s="7"/>
      <c r="N56" s="9" cm="1">
        <f t="array" aca="1" ref="N56" ca="1">INDIRECT("'"&amp;$C56&amp;"'!"&amp;N$2&amp;MATCH($D56,INDIRECT("'"&amp;$C56&amp;"'!$A:$A"),0))</f>
        <v>0.83384999999999998</v>
      </c>
      <c r="O56" s="6" cm="1">
        <f t="array" aca="1" ref="O56" ca="1">INDIRECT("'"&amp;$C56&amp;"'!"&amp;O$2&amp;MATCH($D56,INDIRECT("'"&amp;$C56&amp;"'!$A:$A"),0))</f>
        <v>0</v>
      </c>
      <c r="P56" s="6" cm="1">
        <f t="array" aca="1" ref="P56" ca="1">INDIRECT("'"&amp;$C56&amp;"'!"&amp;P$2&amp;MATCH($D56,INDIRECT("'"&amp;$C56&amp;"'!$A:$A"),0))</f>
        <v>0</v>
      </c>
    </row>
    <row r="57" spans="2:16" collapsed="1" x14ac:dyDescent="0.35">
      <c r="B57" s="24" t="s">
        <v>273</v>
      </c>
      <c r="C57" s="5" t="s">
        <v>224</v>
      </c>
      <c r="D57" s="7" t="s">
        <v>11</v>
      </c>
      <c r="E57" s="17" cm="1">
        <f t="array" aca="1" ref="E57" ca="1">INDIRECT("'"&amp;$C57&amp;"'!"&amp;E$2&amp;MATCH($D57,INDIRECT("'"&amp;$C57&amp;"'!$A:$A"),0))</f>
        <v>0.87583999999999995</v>
      </c>
      <c r="F57" s="9" cm="1">
        <f t="array" aca="1" ref="F57" ca="1">INDIRECT("'"&amp;$C57&amp;"'!"&amp;F$2&amp;MATCH($D57,INDIRECT("'"&amp;$C57&amp;"'!$A:$A"),0))</f>
        <v>0.88341000000000003</v>
      </c>
      <c r="G57" s="17" cm="1">
        <f t="array" aca="1" ref="G57" ca="1">INDIRECT("'"&amp;$C57&amp;"'!"&amp;G$2&amp;MATCH($D57,INDIRECT("'"&amp;$C57&amp;"'!$A:$A"),0))</f>
        <v>0.65973000000000004</v>
      </c>
      <c r="H57" s="9" cm="1">
        <f t="array" aca="1" ref="H57" ca="1">INDIRECT("'"&amp;$C57&amp;"'!"&amp;H$2&amp;MATCH($D57,INDIRECT("'"&amp;$C57&amp;"'!$A:$A"),0))</f>
        <v>0.87961</v>
      </c>
      <c r="I57" s="6" cm="1">
        <f t="array" aca="1" ref="I57" ca="1">INDIRECT("'"&amp;$C57&amp;"'!"&amp;I$2&amp;MATCH($D57,INDIRECT("'"&amp;$C57&amp;"'!$A:$A"),0))</f>
        <v>1607</v>
      </c>
      <c r="J57" s="7"/>
      <c r="K57" s="7"/>
      <c r="L57" s="7"/>
      <c r="M57" s="7"/>
      <c r="N57" s="9" cm="1">
        <f t="array" aca="1" ref="N57" ca="1">INDIRECT("'"&amp;$C57&amp;"'!"&amp;N$2&amp;MATCH($D57,INDIRECT("'"&amp;$C57&amp;"'!$A:$A"),0))</f>
        <v>0.87368000000000001</v>
      </c>
      <c r="O57" s="6" cm="1">
        <f t="array" aca="1" ref="O57" ca="1">INDIRECT("'"&amp;$C57&amp;"'!"&amp;O$2&amp;MATCH($D57,INDIRECT("'"&amp;$C57&amp;"'!$A:$A"),0))</f>
        <v>0</v>
      </c>
      <c r="P57" s="6" cm="1">
        <f t="array" aca="1" ref="P57" ca="1">INDIRECT("'"&amp;$C57&amp;"'!"&amp;P$2&amp;MATCH($D57,INDIRECT("'"&amp;$C57&amp;"'!$A:$A"),0))</f>
        <v>0</v>
      </c>
    </row>
    <row r="58" spans="2:16" hidden="1" outlineLevel="1" x14ac:dyDescent="0.35">
      <c r="B58" s="5" t="s">
        <v>265</v>
      </c>
      <c r="C58" s="5" t="s">
        <v>233</v>
      </c>
      <c r="D58" s="7" t="s">
        <v>11</v>
      </c>
      <c r="E58" s="17" cm="1">
        <f t="array" aca="1" ref="E58" ca="1">INDIRECT("'"&amp;$C58&amp;"'!"&amp;E$2&amp;MATCH($D58,INDIRECT("'"&amp;$C58&amp;"'!$A:$A"),0))</f>
        <v>0.82147000000000003</v>
      </c>
      <c r="F58" s="9" cm="1">
        <f t="array" aca="1" ref="F58" ca="1">INDIRECT("'"&amp;$C58&amp;"'!"&amp;F$2&amp;MATCH($D58,INDIRECT("'"&amp;$C58&amp;"'!$A:$A"),0))</f>
        <v>0.82603000000000004</v>
      </c>
      <c r="G58" s="17" cm="1">
        <f t="array" aca="1" ref="G58" ca="1">INDIRECT("'"&amp;$C58&amp;"'!"&amp;G$2&amp;MATCH($D58,INDIRECT("'"&amp;$C58&amp;"'!$A:$A"),0))</f>
        <v>0.58579000000000003</v>
      </c>
      <c r="H58" s="9" cm="1">
        <f t="array" aca="1" ref="H58" ca="1">INDIRECT("'"&amp;$C58&amp;"'!"&amp;H$2&amp;MATCH($D58,INDIRECT("'"&amp;$C58&amp;"'!$A:$A"),0))</f>
        <v>0.82374999999999998</v>
      </c>
      <c r="I58" s="6" cm="1">
        <f t="array" aca="1" ref="I58" ca="1">INDIRECT("'"&amp;$C58&amp;"'!"&amp;I$2&amp;MATCH($D58,INDIRECT("'"&amp;$C58&amp;"'!$A:$A"),0))</f>
        <v>1607</v>
      </c>
      <c r="J58" s="7"/>
      <c r="K58" s="7"/>
      <c r="L58" s="7"/>
      <c r="M58" s="7"/>
      <c r="N58" s="9" cm="1">
        <f t="array" aca="1" ref="N58" ca="1">INDIRECT("'"&amp;$C58&amp;"'!"&amp;N$2&amp;MATCH($D58,INDIRECT("'"&amp;$C58&amp;"'!$A:$A"),0))</f>
        <v>0.82077999999999995</v>
      </c>
      <c r="O58" s="6" cm="1">
        <f t="array" aca="1" ref="O58" ca="1">INDIRECT("'"&amp;$C58&amp;"'!"&amp;O$2&amp;MATCH($D58,INDIRECT("'"&amp;$C58&amp;"'!$A:$A"),0))</f>
        <v>0</v>
      </c>
      <c r="P58" s="6" cm="1">
        <f t="array" aca="1" ref="P58" ca="1">INDIRECT("'"&amp;$C58&amp;"'!"&amp;P$2&amp;MATCH($D58,INDIRECT("'"&amp;$C58&amp;"'!$A:$A"),0))</f>
        <v>0</v>
      </c>
    </row>
    <row r="59" spans="2:16" ht="14" hidden="1" customHeight="1" outlineLevel="1" x14ac:dyDescent="0.35">
      <c r="B59" s="5" t="s">
        <v>266</v>
      </c>
      <c r="C59" s="5" t="s">
        <v>232</v>
      </c>
      <c r="D59" s="7" t="s">
        <v>11</v>
      </c>
      <c r="E59" s="17" cm="1">
        <f t="array" aca="1" ref="E59" ca="1">INDIRECT("'"&amp;$C59&amp;"'!"&amp;E$2&amp;MATCH($D59,INDIRECT("'"&amp;$C59&amp;"'!$A:$A"),0))</f>
        <v>0.87914999999999999</v>
      </c>
      <c r="F59" s="9" cm="1">
        <f t="array" aca="1" ref="F59" ca="1">INDIRECT("'"&amp;$C59&amp;"'!"&amp;F$2&amp;MATCH($D59,INDIRECT("'"&amp;$C59&amp;"'!$A:$A"),0))</f>
        <v>0.89759</v>
      </c>
      <c r="G59" s="17" cm="1">
        <f t="array" aca="1" ref="G59" ca="1">INDIRECT("'"&amp;$C59&amp;"'!"&amp;G$2&amp;MATCH($D59,INDIRECT("'"&amp;$C59&amp;"'!$A:$A"),0))</f>
        <v>0.68813999999999997</v>
      </c>
      <c r="H59" s="9" cm="1">
        <f t="array" aca="1" ref="H59" ca="1">INDIRECT("'"&amp;$C59&amp;"'!"&amp;H$2&amp;MATCH($D59,INDIRECT("'"&amp;$C59&amp;"'!$A:$A"),0))</f>
        <v>0.88827999999999996</v>
      </c>
      <c r="I59" s="6" cm="1">
        <f t="array" aca="1" ref="I59" ca="1">INDIRECT("'"&amp;$C59&amp;"'!"&amp;I$2&amp;MATCH($D59,INDIRECT("'"&amp;$C59&amp;"'!$A:$A"),0))</f>
        <v>1607</v>
      </c>
      <c r="J59" s="7"/>
      <c r="K59" s="7"/>
      <c r="L59" s="7"/>
      <c r="M59" s="7"/>
      <c r="N59" s="9" cm="1">
        <f t="array" aca="1" ref="N59" ca="1">INDIRECT("'"&amp;$C59&amp;"'!"&amp;N$2&amp;MATCH($D59,INDIRECT("'"&amp;$C59&amp;"'!$A:$A"),0))</f>
        <v>0.88177000000000005</v>
      </c>
      <c r="O59" s="6" cm="1">
        <f t="array" aca="1" ref="O59" ca="1">INDIRECT("'"&amp;$C59&amp;"'!"&amp;O$2&amp;MATCH($D59,INDIRECT("'"&amp;$C59&amp;"'!$A:$A"),0))</f>
        <v>0</v>
      </c>
      <c r="P59" s="6" cm="1">
        <f t="array" aca="1" ref="P59" ca="1">INDIRECT("'"&amp;$C59&amp;"'!"&amp;P$2&amp;MATCH($D59,INDIRECT("'"&amp;$C59&amp;"'!$A:$A"),0))</f>
        <v>0</v>
      </c>
    </row>
    <row r="60" spans="2:16" collapsed="1" x14ac:dyDescent="0.35">
      <c r="B60" s="25" t="s">
        <v>271</v>
      </c>
      <c r="C60" s="5" t="s">
        <v>269</v>
      </c>
      <c r="D60" s="7" t="s">
        <v>11</v>
      </c>
      <c r="E60" s="17" cm="1">
        <f t="array" aca="1" ref="E60" ca="1">INDIRECT("'"&amp;$C60&amp;"'!"&amp;E$2&amp;MATCH($D60,INDIRECT("'"&amp;$C60&amp;"'!$A:$A"),0))</f>
        <v>0.88749999999999996</v>
      </c>
      <c r="F60" s="17" cm="1">
        <f t="array" aca="1" ref="F60" ca="1">INDIRECT("'"&amp;$C60&amp;"'!"&amp;F$2&amp;MATCH($D60,INDIRECT("'"&amp;$C60&amp;"'!$A:$A"),0))</f>
        <v>0.876</v>
      </c>
      <c r="G60" s="17" cm="1">
        <f t="array" aca="1" ref="G60" ca="1">INDIRECT("'"&amp;$C60&amp;"'!"&amp;G$2&amp;MATCH($D60,INDIRECT("'"&amp;$C60&amp;"'!$A:$A"),0))</f>
        <v>0.70030000000000003</v>
      </c>
      <c r="H60" s="17" cm="1">
        <f t="array" aca="1" ref="H60" ca="1">INDIRECT("'"&amp;$C60&amp;"'!"&amp;H$2&amp;MATCH($D60,INDIRECT("'"&amp;$C60&amp;"'!$A:$A"),0))</f>
        <v>0.88170999999999999</v>
      </c>
      <c r="I60" s="6" cm="1">
        <f t="array" aca="1" ref="I60" ca="1">INDIRECT("'"&amp;$C60&amp;"'!"&amp;I$2&amp;MATCH($D60,INDIRECT("'"&amp;$C60&amp;"'!$A:$A"),0))</f>
        <v>1607</v>
      </c>
      <c r="J60" s="7"/>
      <c r="K60" s="7"/>
      <c r="L60" s="7"/>
      <c r="M60" s="7"/>
      <c r="N60" s="17" cm="1">
        <f t="array" aca="1" ref="N60" ca="1">INDIRECT("'"&amp;$C60&amp;"'!"&amp;N$2&amp;MATCH($D60,INDIRECT("'"&amp;$C60&amp;"'!$A:$A"),0))</f>
        <v>0.86745000000000005</v>
      </c>
      <c r="O60" s="6" cm="1">
        <f t="array" aca="1" ref="O60" ca="1">INDIRECT("'"&amp;$C60&amp;"'!"&amp;O$2&amp;MATCH($D60,INDIRECT("'"&amp;$C60&amp;"'!$A:$A"),0))</f>
        <v>33</v>
      </c>
      <c r="P60" s="6" cm="1">
        <f t="array" aca="1" ref="P60" ca="1">INDIRECT("'"&amp;$C60&amp;"'!"&amp;P$2&amp;MATCH($D60,INDIRECT("'"&amp;$C60&amp;"'!$A:$A"),0))</f>
        <v>2.0539999999999999E-2</v>
      </c>
    </row>
    <row r="61" spans="2:16" x14ac:dyDescent="0.35">
      <c r="B61" s="25" t="s">
        <v>267</v>
      </c>
      <c r="C61" s="5" t="s">
        <v>234</v>
      </c>
      <c r="D61" s="7" t="s">
        <v>11</v>
      </c>
      <c r="E61" s="17" cm="1">
        <f t="array" aca="1" ref="E61" ca="1">INDIRECT("'"&amp;$C61&amp;"'!"&amp;E$2&amp;MATCH($D61,INDIRECT("'"&amp;$C61&amp;"'!$A:$A"),0))</f>
        <v>0.91983000000000004</v>
      </c>
      <c r="F61" s="17" cm="1">
        <f t="array" aca="1" ref="F61" ca="1">INDIRECT("'"&amp;$C61&amp;"'!"&amp;F$2&amp;MATCH($D61,INDIRECT("'"&amp;$C61&amp;"'!$A:$A"),0))</f>
        <v>0.92720999999999998</v>
      </c>
      <c r="G61" s="17" cm="1">
        <f t="array" aca="1" ref="G61" ca="1">INDIRECT("'"&amp;$C61&amp;"'!"&amp;G$2&amp;MATCH($D61,INDIRECT("'"&amp;$C61&amp;"'!$A:$A"),0))</f>
        <v>0.73928000000000005</v>
      </c>
      <c r="H61" s="17" cm="1">
        <f t="array" aca="1" ref="H61" ca="1">INDIRECT("'"&amp;$C61&amp;"'!"&amp;H$2&amp;MATCH($D61,INDIRECT("'"&amp;$C61&amp;"'!$A:$A"),0))</f>
        <v>0.92349999999999999</v>
      </c>
      <c r="I61" s="6" cm="1">
        <f t="array" aca="1" ref="I61" ca="1">INDIRECT("'"&amp;$C61&amp;"'!"&amp;I$2&amp;MATCH($D61,INDIRECT("'"&amp;$C61&amp;"'!$A:$A"),0))</f>
        <v>1607</v>
      </c>
      <c r="J61" s="7"/>
      <c r="K61" s="7"/>
      <c r="L61" s="7"/>
      <c r="M61" s="7"/>
      <c r="N61" s="17" cm="1">
        <f t="array" aca="1" ref="N61" ca="1">INDIRECT("'"&amp;$C61&amp;"'!"&amp;N$2&amp;MATCH($D61,INDIRECT("'"&amp;$C61&amp;"'!$A:$A"),0))</f>
        <v>0.91910000000000003</v>
      </c>
      <c r="O61" s="6" cm="1">
        <f t="array" aca="1" ref="O61" ca="1">INDIRECT("'"&amp;$C61&amp;"'!"&amp;O$2&amp;MATCH($D61,INDIRECT("'"&amp;$C61&amp;"'!$A:$A"),0))</f>
        <v>0</v>
      </c>
      <c r="P61" s="6" cm="1">
        <f t="array" aca="1" ref="P61" ca="1">INDIRECT("'"&amp;$C61&amp;"'!"&amp;P$2&amp;MATCH($D61,INDIRECT("'"&amp;$C61&amp;"'!$A:$A"),0))</f>
        <v>0</v>
      </c>
    </row>
    <row r="62" spans="2:16" ht="14" hidden="1" customHeight="1" outlineLevel="1" x14ac:dyDescent="0.35">
      <c r="B62" s="5" t="s">
        <v>270</v>
      </c>
      <c r="C62" s="5" t="s">
        <v>268</v>
      </c>
      <c r="D62" s="7" t="s">
        <v>11</v>
      </c>
      <c r="E62" s="17" cm="1">
        <f t="array" aca="1" ref="E62" ca="1">INDIRECT("'"&amp;$C62&amp;"'!"&amp;E$2&amp;MATCH($D62,INDIRECT("'"&amp;$C62&amp;"'!$A:$A"),0))</f>
        <v>0.21032999999999999</v>
      </c>
      <c r="F62" s="9" cm="1">
        <f t="array" aca="1" ref="F62" ca="1">INDIRECT("'"&amp;$C62&amp;"'!"&amp;F$2&amp;MATCH($D62,INDIRECT("'"&amp;$C62&amp;"'!$A:$A"),0))</f>
        <v>0.10549</v>
      </c>
      <c r="G62" s="17" cm="1">
        <f t="array" aca="1" ref="G62" ca="1">INDIRECT("'"&amp;$C62&amp;"'!"&amp;G$2&amp;MATCH($D62,INDIRECT("'"&amp;$C62&amp;"'!$A:$A"),0))</f>
        <v>0.35659999999999997</v>
      </c>
      <c r="H62" s="9" cm="1">
        <f t="array" aca="1" ref="H62" ca="1">INDIRECT("'"&amp;$C62&amp;"'!"&amp;H$2&amp;MATCH($D62,INDIRECT("'"&amp;$C62&amp;"'!$A:$A"),0))</f>
        <v>0.14051</v>
      </c>
      <c r="I62" s="6" cm="1">
        <f t="array" aca="1" ref="I62" ca="1">INDIRECT("'"&amp;$C62&amp;"'!"&amp;I$2&amp;MATCH($D62,INDIRECT("'"&amp;$C62&amp;"'!$A:$A"),0))</f>
        <v>1607</v>
      </c>
      <c r="J62" s="7"/>
      <c r="K62" s="7"/>
      <c r="L62" s="7"/>
      <c r="M62" s="7"/>
      <c r="N62" s="9" cm="1">
        <f t="array" aca="1" ref="N62" ca="1">INDIRECT("'"&amp;$C62&amp;"'!"&amp;N$2&amp;MATCH($D62,INDIRECT("'"&amp;$C62&amp;"'!$A:$A"),0))</f>
        <v>8.8359999999999994E-2</v>
      </c>
      <c r="O62" s="6" cm="1">
        <f t="array" aca="1" ref="O62" ca="1">INDIRECT("'"&amp;$C62&amp;"'!"&amp;O$2&amp;MATCH($D62,INDIRECT("'"&amp;$C62&amp;"'!$A:$A"),0))</f>
        <v>825</v>
      </c>
      <c r="P62" s="6" cm="1">
        <f t="array" aca="1" ref="P62" ca="1">INDIRECT("'"&amp;$C62&amp;"'!"&amp;P$2&amp;MATCH($D62,INDIRECT("'"&amp;$C62&amp;"'!$A:$A"),0))</f>
        <v>0.51337999999999995</v>
      </c>
    </row>
    <row r="63" spans="2:16" collapsed="1" x14ac:dyDescent="0.35">
      <c r="D63" s="7"/>
      <c r="E63" s="17"/>
      <c r="F63" s="17"/>
      <c r="G63" s="17"/>
      <c r="H63" s="17"/>
      <c r="J63" s="7"/>
      <c r="K63" s="7"/>
      <c r="L63" s="7"/>
      <c r="M63" s="7"/>
      <c r="N63" s="17"/>
    </row>
    <row r="64" spans="2:16" x14ac:dyDescent="0.35">
      <c r="D64" s="7"/>
      <c r="E64" s="9"/>
      <c r="F64" s="9"/>
      <c r="G64" s="9"/>
      <c r="H64" s="9"/>
      <c r="J64" s="7"/>
      <c r="K64" s="7"/>
      <c r="L64" s="7"/>
      <c r="M64" s="7"/>
      <c r="N64" s="9"/>
    </row>
    <row r="65" spans="2:12" x14ac:dyDescent="0.35">
      <c r="B65" s="24" t="s">
        <v>246</v>
      </c>
      <c r="C65" s="5" t="s">
        <v>249</v>
      </c>
      <c r="D65" s="7">
        <v>0</v>
      </c>
      <c r="E65" s="17" cm="1">
        <f t="array" aca="1" ref="E65" ca="1">INDIRECT("'"&amp;$C65&amp;"'!"&amp;E$2&amp;MATCH($D65,INDIRECT("'"&amp;$C65&amp;"'!$A:$A"),0))</f>
        <v>0.70455000000000001</v>
      </c>
      <c r="F65" s="17" cm="1">
        <f t="array" aca="1" ref="F65" ca="1">INDIRECT("'"&amp;$C65&amp;"'!"&amp;F$2&amp;MATCH($D65,INDIRECT("'"&amp;$C65&amp;"'!$A:$A"),0))</f>
        <v>0.81579000000000002</v>
      </c>
      <c r="G65" s="17" cm="1">
        <f t="array" aca="1" ref="G65" ca="1">INDIRECT("'"&amp;$C65&amp;"'!"&amp;G$2&amp;MATCH($D65,INDIRECT("'"&amp;$C65&amp;"'!$A:$A"),0))</f>
        <v>0.75609999999999999</v>
      </c>
      <c r="H65" s="17"/>
      <c r="I65" s="6" cm="1">
        <f t="array" aca="1" ref="I65" ca="1">INDIRECT("'"&amp;$C65&amp;"'!"&amp;I$2&amp;MATCH($D65,INDIRECT("'"&amp;$C65&amp;"'!$A:$A"),0))</f>
        <v>38</v>
      </c>
      <c r="J65" s="6" cm="1">
        <f t="array" aca="1" ref="J65" ca="1">INDIRECT("'"&amp;$C65&amp;"'!"&amp;J$2&amp;MATCH($D65,INDIRECT("'"&amp;$C65&amp;"'!$A:$A"),0))</f>
        <v>31</v>
      </c>
      <c r="K65" s="6" cm="1">
        <f t="array" aca="1" ref="K65" ca="1">INDIRECT("'"&amp;$C65&amp;"'!"&amp;K$2&amp;MATCH($D65,INDIRECT("'"&amp;$C65&amp;"'!$A:$A"),0))</f>
        <v>13</v>
      </c>
      <c r="L65" s="6" cm="1">
        <f t="array" aca="1" ref="L65" ca="1">INDIRECT("'"&amp;$C65&amp;"'!"&amp;L$2&amp;MATCH($D65,INDIRECT("'"&amp;$C65&amp;"'!$A:$A"),0))</f>
        <v>7</v>
      </c>
    </row>
    <row r="66" spans="2:12" x14ac:dyDescent="0.35">
      <c r="B66" s="25" t="s">
        <v>251</v>
      </c>
      <c r="C66" s="5" t="s">
        <v>250</v>
      </c>
      <c r="D66" s="7">
        <v>0</v>
      </c>
      <c r="E66" s="17" cm="1">
        <f t="array" aca="1" ref="E66" ca="1">INDIRECT("'"&amp;$C66&amp;"'!"&amp;E$2&amp;MATCH($D66,INDIRECT("'"&amp;$C66&amp;"'!$A:$A"),0))</f>
        <v>0.625</v>
      </c>
      <c r="F66" s="17" cm="1">
        <f t="array" aca="1" ref="F66" ca="1">INDIRECT("'"&amp;$C66&amp;"'!"&amp;F$2&amp;MATCH($D66,INDIRECT("'"&amp;$C66&amp;"'!$A:$A"),0))</f>
        <v>0.78947000000000001</v>
      </c>
      <c r="G66" s="17" cm="1">
        <f t="array" aca="1" ref="G66" ca="1">INDIRECT("'"&amp;$C66&amp;"'!"&amp;G$2&amp;MATCH($D66,INDIRECT("'"&amp;$C66&amp;"'!$A:$A"),0))</f>
        <v>0.69767000000000001</v>
      </c>
      <c r="H66" s="17"/>
      <c r="I66" s="6" cm="1">
        <f t="array" aca="1" ref="I66" ca="1">INDIRECT("'"&amp;$C66&amp;"'!"&amp;I$2&amp;MATCH($D66,INDIRECT("'"&amp;$C66&amp;"'!$A:$A"),0))</f>
        <v>38</v>
      </c>
      <c r="J66" s="6" cm="1">
        <f t="array" aca="1" ref="J66" ca="1">INDIRECT("'"&amp;$C66&amp;"'!"&amp;J$2&amp;MATCH($D66,INDIRECT("'"&amp;$C66&amp;"'!$A:$A"),0))</f>
        <v>30</v>
      </c>
      <c r="K66" s="6" cm="1">
        <f t="array" aca="1" ref="K66" ca="1">INDIRECT("'"&amp;$C66&amp;"'!"&amp;K$2&amp;MATCH($D66,INDIRECT("'"&amp;$C66&amp;"'!$A:$A"),0))</f>
        <v>18</v>
      </c>
      <c r="L66" s="6" cm="1">
        <f t="array" aca="1" ref="L66" ca="1">INDIRECT("'"&amp;$C66&amp;"'!"&amp;L$2&amp;MATCH($D66,INDIRECT("'"&amp;$C66&amp;"'!$A:$A"),0))</f>
        <v>8</v>
      </c>
    </row>
    <row r="67" spans="2:12" hidden="1" outlineLevel="1" x14ac:dyDescent="0.35">
      <c r="B67" s="5" t="s">
        <v>252</v>
      </c>
      <c r="C67" s="5" t="s">
        <v>221</v>
      </c>
      <c r="D67" s="7">
        <v>0</v>
      </c>
      <c r="E67" s="17" cm="1">
        <f t="array" aca="1" ref="E67" ca="1">INDIRECT("'"&amp;$C67&amp;"'!"&amp;E$2&amp;MATCH($D67,INDIRECT("'"&amp;$C67&amp;"'!$A:$A"),0))</f>
        <v>0.15261</v>
      </c>
      <c r="F67" s="17" cm="1">
        <f t="array" aca="1" ref="F67" ca="1">INDIRECT("'"&amp;$C67&amp;"'!"&amp;F$2&amp;MATCH($D67,INDIRECT("'"&amp;$C67&amp;"'!$A:$A"),0))</f>
        <v>1</v>
      </c>
      <c r="G67" s="17" cm="1">
        <f t="array" aca="1" ref="G67" ca="1">INDIRECT("'"&amp;$C67&amp;"'!"&amp;G$2&amp;MATCH($D67,INDIRECT("'"&amp;$C67&amp;"'!$A:$A"),0))</f>
        <v>0.26480999999999999</v>
      </c>
      <c r="H67" s="17"/>
      <c r="I67" s="6" cm="1">
        <f t="array" aca="1" ref="I67" ca="1">INDIRECT("'"&amp;$C67&amp;"'!"&amp;I$2&amp;MATCH($D67,INDIRECT("'"&amp;$C67&amp;"'!$A:$A"),0))</f>
        <v>38</v>
      </c>
      <c r="J67" s="6" cm="1">
        <f t="array" aca="1" ref="J67" ca="1">INDIRECT("'"&amp;$C67&amp;"'!"&amp;J$2&amp;MATCH($D67,INDIRECT("'"&amp;$C67&amp;"'!$A:$A"),0))</f>
        <v>38</v>
      </c>
      <c r="K67" s="6" cm="1">
        <f t="array" aca="1" ref="K67" ca="1">INDIRECT("'"&amp;$C67&amp;"'!"&amp;K$2&amp;MATCH($D67,INDIRECT("'"&amp;$C67&amp;"'!$A:$A"),0))</f>
        <v>211</v>
      </c>
      <c r="L67" s="6" cm="1">
        <f t="array" aca="1" ref="L67" ca="1">INDIRECT("'"&amp;$C67&amp;"'!"&amp;L$2&amp;MATCH($D67,INDIRECT("'"&amp;$C67&amp;"'!$A:$A"),0))</f>
        <v>0</v>
      </c>
    </row>
    <row r="68" spans="2:12" hidden="1" outlineLevel="1" x14ac:dyDescent="0.35">
      <c r="B68" s="5" t="s">
        <v>254</v>
      </c>
      <c r="C68" s="5" t="s">
        <v>220</v>
      </c>
      <c r="D68" s="7">
        <v>0</v>
      </c>
      <c r="E68" s="17" cm="1">
        <f t="array" aca="1" ref="E68" ca="1">INDIRECT("'"&amp;$C68&amp;"'!"&amp;E$2&amp;MATCH($D68,INDIRECT("'"&amp;$C68&amp;"'!$A:$A"),0))</f>
        <v>0.17116999999999999</v>
      </c>
      <c r="F68" s="17" cm="1">
        <f t="array" aca="1" ref="F68" ca="1">INDIRECT("'"&amp;$C68&amp;"'!"&amp;F$2&amp;MATCH($D68,INDIRECT("'"&amp;$C68&amp;"'!$A:$A"),0))</f>
        <v>1</v>
      </c>
      <c r="G68" s="17" cm="1">
        <f t="array" aca="1" ref="G68" ca="1">INDIRECT("'"&amp;$C68&amp;"'!"&amp;G$2&amp;MATCH($D68,INDIRECT("'"&amp;$C68&amp;"'!$A:$A"),0))</f>
        <v>0.29231000000000001</v>
      </c>
      <c r="H68" s="17"/>
      <c r="I68" s="6" cm="1">
        <f t="array" aca="1" ref="I68" ca="1">INDIRECT("'"&amp;$C68&amp;"'!"&amp;I$2&amp;MATCH($D68,INDIRECT("'"&amp;$C68&amp;"'!$A:$A"),0))</f>
        <v>38</v>
      </c>
      <c r="J68" s="6" cm="1">
        <f t="array" aca="1" ref="J68" ca="1">INDIRECT("'"&amp;$C68&amp;"'!"&amp;J$2&amp;MATCH($D68,INDIRECT("'"&amp;$C68&amp;"'!$A:$A"),0))</f>
        <v>38</v>
      </c>
      <c r="K68" s="6" cm="1">
        <f t="array" aca="1" ref="K68" ca="1">INDIRECT("'"&amp;$C68&amp;"'!"&amp;K$2&amp;MATCH($D68,INDIRECT("'"&amp;$C68&amp;"'!$A:$A"),0))</f>
        <v>184</v>
      </c>
      <c r="L68" s="6" cm="1">
        <f t="array" aca="1" ref="L68" ca="1">INDIRECT("'"&amp;$C68&amp;"'!"&amp;L$2&amp;MATCH($D68,INDIRECT("'"&amp;$C68&amp;"'!$A:$A"),0))</f>
        <v>0</v>
      </c>
    </row>
    <row r="69" spans="2:12" hidden="1" outlineLevel="1" x14ac:dyDescent="0.35">
      <c r="B69" s="5" t="s">
        <v>253</v>
      </c>
      <c r="C69" s="5" t="s">
        <v>219</v>
      </c>
      <c r="D69" s="7">
        <v>0</v>
      </c>
      <c r="E69" s="17" cm="1">
        <f t="array" aca="1" ref="E69" ca="1">INDIRECT("'"&amp;$C69&amp;"'!"&amp;E$2&amp;MATCH($D69,INDIRECT("'"&amp;$C69&amp;"'!$A:$A"),0))</f>
        <v>0.34043000000000001</v>
      </c>
      <c r="F69" s="17" cm="1">
        <f t="array" aca="1" ref="F69" ca="1">INDIRECT("'"&amp;$C69&amp;"'!"&amp;F$2&amp;MATCH($D69,INDIRECT("'"&amp;$C69&amp;"'!$A:$A"),0))</f>
        <v>0.84211000000000003</v>
      </c>
      <c r="G69" s="17" cm="1">
        <f t="array" aca="1" ref="G69" ca="1">INDIRECT("'"&amp;$C69&amp;"'!"&amp;G$2&amp;MATCH($D69,INDIRECT("'"&amp;$C69&amp;"'!$A:$A"),0))</f>
        <v>0.48485</v>
      </c>
      <c r="H69" s="17"/>
      <c r="I69" s="6" cm="1">
        <f t="array" aca="1" ref="I69" ca="1">INDIRECT("'"&amp;$C69&amp;"'!"&amp;I$2&amp;MATCH($D69,INDIRECT("'"&amp;$C69&amp;"'!$A:$A"),0))</f>
        <v>38</v>
      </c>
      <c r="J69" s="6" cm="1">
        <f t="array" aca="1" ref="J69" ca="1">INDIRECT("'"&amp;$C69&amp;"'!"&amp;J$2&amp;MATCH($D69,INDIRECT("'"&amp;$C69&amp;"'!$A:$A"),0))</f>
        <v>32</v>
      </c>
      <c r="K69" s="6" cm="1">
        <f t="array" aca="1" ref="K69" ca="1">INDIRECT("'"&amp;$C69&amp;"'!"&amp;K$2&amp;MATCH($D69,INDIRECT("'"&amp;$C69&amp;"'!$A:$A"),0))</f>
        <v>62</v>
      </c>
      <c r="L69" s="6" cm="1">
        <f t="array" aca="1" ref="L69" ca="1">INDIRECT("'"&amp;$C69&amp;"'!"&amp;L$2&amp;MATCH($D69,INDIRECT("'"&amp;$C69&amp;"'!$A:$A"),0))</f>
        <v>6</v>
      </c>
    </row>
    <row r="70" spans="2:12" collapsed="1" x14ac:dyDescent="0.35">
      <c r="B70" s="24" t="s">
        <v>292</v>
      </c>
      <c r="C70" s="5" t="s">
        <v>228</v>
      </c>
      <c r="D70" s="7">
        <v>0</v>
      </c>
      <c r="E70" s="17" cm="1">
        <f t="array" aca="1" ref="E70" ca="1">INDIRECT("'"&amp;$C70&amp;"'!"&amp;E$2&amp;MATCH($D70,INDIRECT("'"&amp;$C70&amp;"'!$A:$A"),0))</f>
        <v>0.30357000000000001</v>
      </c>
      <c r="F70" s="17" cm="1">
        <f t="array" aca="1" ref="F70" ca="1">INDIRECT("'"&amp;$C70&amp;"'!"&amp;F$2&amp;MATCH($D70,INDIRECT("'"&amp;$C70&amp;"'!$A:$A"),0))</f>
        <v>0.89473999999999998</v>
      </c>
      <c r="G70" s="17" cm="1">
        <f t="array" aca="1" ref="G70" ca="1">INDIRECT("'"&amp;$C70&amp;"'!"&amp;G$2&amp;MATCH($D70,INDIRECT("'"&amp;$C70&amp;"'!$A:$A"),0))</f>
        <v>0.45333000000000001</v>
      </c>
      <c r="H70" s="17"/>
      <c r="I70" s="6" cm="1">
        <f t="array" aca="1" ref="I70" ca="1">INDIRECT("'"&amp;$C70&amp;"'!"&amp;I$2&amp;MATCH($D70,INDIRECT("'"&amp;$C70&amp;"'!$A:$A"),0))</f>
        <v>38</v>
      </c>
      <c r="J70" s="6" cm="1">
        <f t="array" aca="1" ref="J70" ca="1">INDIRECT("'"&amp;$C70&amp;"'!"&amp;J$2&amp;MATCH($D70,INDIRECT("'"&amp;$C70&amp;"'!$A:$A"),0))</f>
        <v>34</v>
      </c>
      <c r="K70" s="6" cm="1">
        <f t="array" aca="1" ref="K70" ca="1">INDIRECT("'"&amp;$C70&amp;"'!"&amp;K$2&amp;MATCH($D70,INDIRECT("'"&amp;$C70&amp;"'!$A:$A"),0))</f>
        <v>78</v>
      </c>
      <c r="L70" s="6" cm="1">
        <f t="array" aca="1" ref="L70" ca="1">INDIRECT("'"&amp;$C70&amp;"'!"&amp;L$2&amp;MATCH($D70,INDIRECT("'"&amp;$C70&amp;"'!$A:$A"),0))</f>
        <v>4</v>
      </c>
    </row>
    <row r="71" spans="2:12" hidden="1" outlineLevel="1" x14ac:dyDescent="0.35">
      <c r="B71" s="5" t="s">
        <v>255</v>
      </c>
      <c r="C71" s="5" t="s">
        <v>218</v>
      </c>
      <c r="D71" s="7">
        <v>0</v>
      </c>
      <c r="E71" s="17" cm="1">
        <f t="array" aca="1" ref="E71" ca="1">INDIRECT("'"&amp;$C71&amp;"'!"&amp;E$2&amp;MATCH($D71,INDIRECT("'"&amp;$C71&amp;"'!$A:$A"),0))</f>
        <v>0.14859</v>
      </c>
      <c r="F71" s="17" cm="1">
        <f t="array" aca="1" ref="F71" ca="1">INDIRECT("'"&amp;$C71&amp;"'!"&amp;F$2&amp;MATCH($D71,INDIRECT("'"&amp;$C71&amp;"'!$A:$A"),0))</f>
        <v>0.97367999999999999</v>
      </c>
      <c r="G71" s="17" cm="1">
        <f t="array" aca="1" ref="G71" ca="1">INDIRECT("'"&amp;$C71&amp;"'!"&amp;G$2&amp;MATCH($D71,INDIRECT("'"&amp;$C71&amp;"'!$A:$A"),0))</f>
        <v>0.25784000000000001</v>
      </c>
      <c r="H71" s="17"/>
      <c r="I71" s="6" cm="1">
        <f t="array" aca="1" ref="I71" ca="1">INDIRECT("'"&amp;$C71&amp;"'!"&amp;I$2&amp;MATCH($D71,INDIRECT("'"&amp;$C71&amp;"'!$A:$A"),0))</f>
        <v>38</v>
      </c>
      <c r="J71" s="6" cm="1">
        <f t="array" aca="1" ref="J71" ca="1">INDIRECT("'"&amp;$C71&amp;"'!"&amp;J$2&amp;MATCH($D71,INDIRECT("'"&amp;$C71&amp;"'!$A:$A"),0))</f>
        <v>37</v>
      </c>
      <c r="K71" s="6" cm="1">
        <f t="array" aca="1" ref="K71" ca="1">INDIRECT("'"&amp;$C71&amp;"'!"&amp;K$2&amp;MATCH($D71,INDIRECT("'"&amp;$C71&amp;"'!$A:$A"),0))</f>
        <v>212</v>
      </c>
      <c r="L71" s="6" cm="1">
        <f t="array" aca="1" ref="L71" ca="1">INDIRECT("'"&amp;$C71&amp;"'!"&amp;L$2&amp;MATCH($D71,INDIRECT("'"&amp;$C71&amp;"'!$A:$A"),0))</f>
        <v>1</v>
      </c>
    </row>
    <row r="72" spans="2:12" hidden="1" outlineLevel="1" x14ac:dyDescent="0.35">
      <c r="B72" s="5" t="s">
        <v>256</v>
      </c>
      <c r="C72" s="5" t="s">
        <v>217</v>
      </c>
      <c r="D72" s="7">
        <v>0</v>
      </c>
      <c r="E72" s="17" cm="1">
        <f t="array" aca="1" ref="E72" ca="1">INDIRECT("'"&amp;$C72&amp;"'!"&amp;E$2&amp;MATCH($D72,INDIRECT("'"&amp;$C72&amp;"'!$A:$A"),0))</f>
        <v>0.19792000000000001</v>
      </c>
      <c r="F72" s="17" cm="1">
        <f t="array" aca="1" ref="F72" ca="1">INDIRECT("'"&amp;$C72&amp;"'!"&amp;F$2&amp;MATCH($D72,INDIRECT("'"&amp;$C72&amp;"'!$A:$A"),0))</f>
        <v>1</v>
      </c>
      <c r="G72" s="17" cm="1">
        <f t="array" aca="1" ref="G72" ca="1">INDIRECT("'"&amp;$C72&amp;"'!"&amp;G$2&amp;MATCH($D72,INDIRECT("'"&amp;$C72&amp;"'!$A:$A"),0))</f>
        <v>0.33043</v>
      </c>
      <c r="H72" s="17"/>
      <c r="I72" s="6" cm="1">
        <f t="array" aca="1" ref="I72" ca="1">INDIRECT("'"&amp;$C72&amp;"'!"&amp;I$2&amp;MATCH($D72,INDIRECT("'"&amp;$C72&amp;"'!$A:$A"),0))</f>
        <v>38</v>
      </c>
      <c r="J72" s="6" cm="1">
        <f t="array" aca="1" ref="J72" ca="1">INDIRECT("'"&amp;$C72&amp;"'!"&amp;J$2&amp;MATCH($D72,INDIRECT("'"&amp;$C72&amp;"'!$A:$A"),0))</f>
        <v>38</v>
      </c>
      <c r="K72" s="6" cm="1">
        <f t="array" aca="1" ref="K72" ca="1">INDIRECT("'"&amp;$C72&amp;"'!"&amp;K$2&amp;MATCH($D72,INDIRECT("'"&amp;$C72&amp;"'!$A:$A"),0))</f>
        <v>154</v>
      </c>
      <c r="L72" s="6" cm="1">
        <f t="array" aca="1" ref="L72" ca="1">INDIRECT("'"&amp;$C72&amp;"'!"&amp;L$2&amp;MATCH($D72,INDIRECT("'"&amp;$C72&amp;"'!$A:$A"),0))</f>
        <v>0</v>
      </c>
    </row>
    <row r="73" spans="2:12" hidden="1" outlineLevel="1" x14ac:dyDescent="0.35">
      <c r="B73" s="5" t="s">
        <v>257</v>
      </c>
      <c r="C73" s="5" t="s">
        <v>216</v>
      </c>
      <c r="D73" s="7">
        <v>0</v>
      </c>
      <c r="E73" s="17" cm="1">
        <f t="array" aca="1" ref="E73" ca="1">INDIRECT("'"&amp;$C73&amp;"'!"&amp;E$2&amp;MATCH($D73,INDIRECT("'"&amp;$C73&amp;"'!$A:$A"),0))</f>
        <v>0.21512000000000001</v>
      </c>
      <c r="F73" s="17" cm="1">
        <f t="array" aca="1" ref="F73" ca="1">INDIRECT("'"&amp;$C73&amp;"'!"&amp;F$2&amp;MATCH($D73,INDIRECT("'"&amp;$C73&amp;"'!$A:$A"),0))</f>
        <v>0.97367999999999999</v>
      </c>
      <c r="G73" s="17" cm="1">
        <f t="array" aca="1" ref="G73" ca="1">INDIRECT("'"&amp;$C73&amp;"'!"&amp;G$2&amp;MATCH($D73,INDIRECT("'"&amp;$C73&amp;"'!$A:$A"),0))</f>
        <v>0.35238000000000003</v>
      </c>
      <c r="H73" s="17"/>
      <c r="I73" s="6" cm="1">
        <f t="array" aca="1" ref="I73" ca="1">INDIRECT("'"&amp;$C73&amp;"'!"&amp;I$2&amp;MATCH($D73,INDIRECT("'"&amp;$C73&amp;"'!$A:$A"),0))</f>
        <v>38</v>
      </c>
      <c r="J73" s="6" cm="1">
        <f t="array" aca="1" ref="J73" ca="1">INDIRECT("'"&amp;$C73&amp;"'!"&amp;J$2&amp;MATCH($D73,INDIRECT("'"&amp;$C73&amp;"'!$A:$A"),0))</f>
        <v>37</v>
      </c>
      <c r="K73" s="6" cm="1">
        <f t="array" aca="1" ref="K73" ca="1">INDIRECT("'"&amp;$C73&amp;"'!"&amp;K$2&amp;MATCH($D73,INDIRECT("'"&amp;$C73&amp;"'!$A:$A"),0))</f>
        <v>135</v>
      </c>
      <c r="L73" s="6" cm="1">
        <f t="array" aca="1" ref="L73" ca="1">INDIRECT("'"&amp;$C73&amp;"'!"&amp;L$2&amp;MATCH($D73,INDIRECT("'"&amp;$C73&amp;"'!$A:$A"),0))</f>
        <v>1</v>
      </c>
    </row>
    <row r="74" spans="2:12" hidden="1" outlineLevel="1" x14ac:dyDescent="0.35">
      <c r="B74" s="5" t="s">
        <v>258</v>
      </c>
      <c r="C74" s="5" t="s">
        <v>227</v>
      </c>
      <c r="D74" s="7">
        <v>0</v>
      </c>
      <c r="E74" s="17" cm="1">
        <f t="array" aca="1" ref="E74" ca="1">INDIRECT("'"&amp;$C74&amp;"'!"&amp;E$2&amp;MATCH($D74,INDIRECT("'"&amp;$C74&amp;"'!$A:$A"),0))</f>
        <v>0.21765000000000001</v>
      </c>
      <c r="F74" s="17" cm="1">
        <f t="array" aca="1" ref="F74" ca="1">INDIRECT("'"&amp;$C74&amp;"'!"&amp;F$2&amp;MATCH($D74,INDIRECT("'"&amp;$C74&amp;"'!$A:$A"),0))</f>
        <v>0.97367999999999999</v>
      </c>
      <c r="G74" s="17" cm="1">
        <f t="array" aca="1" ref="G74" ca="1">INDIRECT("'"&amp;$C74&amp;"'!"&amp;G$2&amp;MATCH($D74,INDIRECT("'"&amp;$C74&amp;"'!$A:$A"),0))</f>
        <v>0.35576999999999998</v>
      </c>
      <c r="H74" s="17"/>
      <c r="I74" s="6" cm="1">
        <f t="array" aca="1" ref="I74" ca="1">INDIRECT("'"&amp;$C74&amp;"'!"&amp;I$2&amp;MATCH($D74,INDIRECT("'"&amp;$C74&amp;"'!$A:$A"),0))</f>
        <v>38</v>
      </c>
      <c r="J74" s="6" cm="1">
        <f t="array" aca="1" ref="J74" ca="1">INDIRECT("'"&amp;$C74&amp;"'!"&amp;J$2&amp;MATCH($D74,INDIRECT("'"&amp;$C74&amp;"'!$A:$A"),0))</f>
        <v>37</v>
      </c>
      <c r="K74" s="6" cm="1">
        <f t="array" aca="1" ref="K74" ca="1">INDIRECT("'"&amp;$C74&amp;"'!"&amp;K$2&amp;MATCH($D74,INDIRECT("'"&amp;$C74&amp;"'!$A:$A"),0))</f>
        <v>133</v>
      </c>
      <c r="L74" s="6" cm="1">
        <f t="array" aca="1" ref="L74" ca="1">INDIRECT("'"&amp;$C74&amp;"'!"&amp;L$2&amp;MATCH($D74,INDIRECT("'"&amp;$C74&amp;"'!$A:$A"),0))</f>
        <v>1</v>
      </c>
    </row>
    <row r="75" spans="2:12" collapsed="1" x14ac:dyDescent="0.35">
      <c r="B75" s="25" t="s">
        <v>260</v>
      </c>
      <c r="C75" s="5" t="s">
        <v>247</v>
      </c>
      <c r="D75" s="7">
        <v>0</v>
      </c>
      <c r="E75" s="17" cm="1">
        <f t="array" aca="1" ref="E75" ca="1">INDIRECT("'"&amp;$C75&amp;"'!"&amp;E$2&amp;MATCH($D75,INDIRECT("'"&amp;$C75&amp;"'!$A:$A"),0))</f>
        <v>0.42499999999999999</v>
      </c>
      <c r="F75" s="17" cm="1">
        <f t="array" aca="1" ref="F75" ca="1">INDIRECT("'"&amp;$C75&amp;"'!"&amp;F$2&amp;MATCH($D75,INDIRECT("'"&amp;$C75&amp;"'!$A:$A"),0))</f>
        <v>0.89473999999999998</v>
      </c>
      <c r="G75" s="17" cm="1">
        <f t="array" aca="1" ref="G75" ca="1">INDIRECT("'"&amp;$C75&amp;"'!"&amp;G$2&amp;MATCH($D75,INDIRECT("'"&amp;$C75&amp;"'!$A:$A"),0))</f>
        <v>0.57626999999999995</v>
      </c>
      <c r="H75" s="17"/>
      <c r="I75" s="6" cm="1">
        <f t="array" aca="1" ref="I75" ca="1">INDIRECT("'"&amp;$C75&amp;"'!"&amp;I$2&amp;MATCH($D75,INDIRECT("'"&amp;$C75&amp;"'!$A:$A"),0))</f>
        <v>38</v>
      </c>
      <c r="J75" s="6" cm="1">
        <f t="array" aca="1" ref="J75" ca="1">INDIRECT("'"&amp;$C75&amp;"'!"&amp;J$2&amp;MATCH($D75,INDIRECT("'"&amp;$C75&amp;"'!$A:$A"),0))</f>
        <v>34</v>
      </c>
      <c r="K75" s="6" cm="1">
        <f t="array" aca="1" ref="K75" ca="1">INDIRECT("'"&amp;$C75&amp;"'!"&amp;K$2&amp;MATCH($D75,INDIRECT("'"&amp;$C75&amp;"'!$A:$A"),0))</f>
        <v>46</v>
      </c>
      <c r="L75" s="6" cm="1">
        <f t="array" aca="1" ref="L75" ca="1">INDIRECT("'"&amp;$C75&amp;"'!"&amp;L$2&amp;MATCH($D75,INDIRECT("'"&amp;$C75&amp;"'!$A:$A"),0))</f>
        <v>4</v>
      </c>
    </row>
    <row r="76" spans="2:12" x14ac:dyDescent="0.35">
      <c r="B76" s="25" t="s">
        <v>261</v>
      </c>
      <c r="C76" s="5" t="s">
        <v>248</v>
      </c>
      <c r="D76" s="7">
        <v>0</v>
      </c>
      <c r="E76" s="17" cm="1">
        <f t="array" aca="1" ref="E76" ca="1">INDIRECT("'"&amp;$C76&amp;"'!"&amp;E$2&amp;MATCH($D76,INDIRECT("'"&amp;$C76&amp;"'!$A:$A"),0))</f>
        <v>0.44928000000000001</v>
      </c>
      <c r="F76" s="17" cm="1">
        <f t="array" aca="1" ref="F76" ca="1">INDIRECT("'"&amp;$C76&amp;"'!"&amp;F$2&amp;MATCH($D76,INDIRECT("'"&amp;$C76&amp;"'!$A:$A"),0))</f>
        <v>0.81579000000000002</v>
      </c>
      <c r="G76" s="17" cm="1">
        <f t="array" aca="1" ref="G76" ca="1">INDIRECT("'"&amp;$C76&amp;"'!"&amp;G$2&amp;MATCH($D76,INDIRECT("'"&amp;$C76&amp;"'!$A:$A"),0))</f>
        <v>0.57943999999999996</v>
      </c>
      <c r="H76" s="17"/>
      <c r="I76" s="6" cm="1">
        <f t="array" aca="1" ref="I76" ca="1">INDIRECT("'"&amp;$C76&amp;"'!"&amp;I$2&amp;MATCH($D76,INDIRECT("'"&amp;$C76&amp;"'!$A:$A"),0))</f>
        <v>38</v>
      </c>
      <c r="J76" s="6" cm="1">
        <f t="array" aca="1" ref="J76" ca="1">INDIRECT("'"&amp;$C76&amp;"'!"&amp;J$2&amp;MATCH($D76,INDIRECT("'"&amp;$C76&amp;"'!$A:$A"),0))</f>
        <v>31</v>
      </c>
      <c r="K76" s="6" cm="1">
        <f t="array" aca="1" ref="K76" ca="1">INDIRECT("'"&amp;$C76&amp;"'!"&amp;K$2&amp;MATCH($D76,INDIRECT("'"&amp;$C76&amp;"'!$A:$A"),0))</f>
        <v>38</v>
      </c>
      <c r="L76" s="6" cm="1">
        <f t="array" aca="1" ref="L76" ca="1">INDIRECT("'"&amp;$C76&amp;"'!"&amp;L$2&amp;MATCH($D76,INDIRECT("'"&amp;$C76&amp;"'!$A:$A"),0))</f>
        <v>7</v>
      </c>
    </row>
    <row r="77" spans="2:12" hidden="1" outlineLevel="1" x14ac:dyDescent="0.35">
      <c r="B77" s="5" t="s">
        <v>282</v>
      </c>
      <c r="C77" s="5" t="s">
        <v>285</v>
      </c>
      <c r="D77" s="7">
        <v>0</v>
      </c>
      <c r="E77" s="17" cm="1">
        <f t="array" aca="1" ref="E77" ca="1">INDIRECT("'"&amp;$C77&amp;"'!"&amp;E$2&amp;MATCH($D77,INDIRECT("'"&amp;$C77&amp;"'!$A:$A"),0))</f>
        <v>0.18229000000000001</v>
      </c>
      <c r="F77" s="17" cm="1">
        <f t="array" aca="1" ref="F77" ca="1">INDIRECT("'"&amp;$C77&amp;"'!"&amp;F$2&amp;MATCH($D77,INDIRECT("'"&amp;$C77&amp;"'!$A:$A"),0))</f>
        <v>0.92105000000000004</v>
      </c>
      <c r="G77" s="17" cm="1">
        <f t="array" aca="1" ref="G77" ca="1">INDIRECT("'"&amp;$C77&amp;"'!"&amp;G$2&amp;MATCH($D77,INDIRECT("'"&amp;$C77&amp;"'!$A:$A"),0))</f>
        <v>0.30435000000000001</v>
      </c>
      <c r="H77" s="17"/>
      <c r="I77" s="6" cm="1">
        <f t="array" aca="1" ref="I77" ca="1">INDIRECT("'"&amp;$C77&amp;"'!"&amp;I$2&amp;MATCH($D77,INDIRECT("'"&amp;$C77&amp;"'!$A:$A"),0))</f>
        <v>38</v>
      </c>
      <c r="J77" s="6" cm="1">
        <f t="array" aca="1" ref="J77" ca="1">INDIRECT("'"&amp;$C77&amp;"'!"&amp;J$2&amp;MATCH($D77,INDIRECT("'"&amp;$C77&amp;"'!$A:$A"),0))</f>
        <v>35</v>
      </c>
      <c r="K77" s="6" cm="1">
        <f t="array" aca="1" ref="K77" ca="1">INDIRECT("'"&amp;$C77&amp;"'!"&amp;K$2&amp;MATCH($D77,INDIRECT("'"&amp;$C77&amp;"'!$A:$A"),0))</f>
        <v>157</v>
      </c>
      <c r="L77" s="6" cm="1">
        <f t="array" aca="1" ref="L77" ca="1">INDIRECT("'"&amp;$C77&amp;"'!"&amp;L$2&amp;MATCH($D77,INDIRECT("'"&amp;$C77&amp;"'!$A:$A"),0))</f>
        <v>3</v>
      </c>
    </row>
    <row r="78" spans="2:12" hidden="1" outlineLevel="1" x14ac:dyDescent="0.35">
      <c r="B78" s="5" t="s">
        <v>283</v>
      </c>
      <c r="C78" s="5" t="s">
        <v>286</v>
      </c>
      <c r="D78" s="7">
        <v>0</v>
      </c>
      <c r="E78" s="17" cm="1">
        <f t="array" aca="1" ref="E78" ca="1">INDIRECT("'"&amp;$C78&amp;"'!"&amp;E$2&amp;MATCH($D78,INDIRECT("'"&amp;$C78&amp;"'!$A:$A"),0))</f>
        <v>0.19792000000000001</v>
      </c>
      <c r="F78" s="17" cm="1">
        <f t="array" aca="1" ref="F78" ca="1">INDIRECT("'"&amp;$C78&amp;"'!"&amp;F$2&amp;MATCH($D78,INDIRECT("'"&amp;$C78&amp;"'!$A:$A"),0))</f>
        <v>1</v>
      </c>
      <c r="G78" s="17" cm="1">
        <f t="array" aca="1" ref="G78" ca="1">INDIRECT("'"&amp;$C78&amp;"'!"&amp;G$2&amp;MATCH($D78,INDIRECT("'"&amp;$C78&amp;"'!$A:$A"),0))</f>
        <v>0.33043</v>
      </c>
      <c r="H78" s="17"/>
      <c r="I78" s="6" cm="1">
        <f t="array" aca="1" ref="I78" ca="1">INDIRECT("'"&amp;$C78&amp;"'!"&amp;I$2&amp;MATCH($D78,INDIRECT("'"&amp;$C78&amp;"'!$A:$A"),0))</f>
        <v>38</v>
      </c>
      <c r="J78" s="6" cm="1">
        <f t="array" aca="1" ref="J78" ca="1">INDIRECT("'"&amp;$C78&amp;"'!"&amp;J$2&amp;MATCH($D78,INDIRECT("'"&amp;$C78&amp;"'!$A:$A"),0))</f>
        <v>38</v>
      </c>
      <c r="K78" s="6" cm="1">
        <f t="array" aca="1" ref="K78" ca="1">INDIRECT("'"&amp;$C78&amp;"'!"&amp;K$2&amp;MATCH($D78,INDIRECT("'"&amp;$C78&amp;"'!$A:$A"),0))</f>
        <v>154</v>
      </c>
      <c r="L78" s="6" cm="1">
        <f t="array" aca="1" ref="L78" ca="1">INDIRECT("'"&amp;$C78&amp;"'!"&amp;L$2&amp;MATCH($D78,INDIRECT("'"&amp;$C78&amp;"'!$A:$A"),0))</f>
        <v>0</v>
      </c>
    </row>
    <row r="79" spans="2:12" hidden="1" outlineLevel="1" x14ac:dyDescent="0.35">
      <c r="B79" s="5" t="s">
        <v>284</v>
      </c>
      <c r="C79" s="5" t="s">
        <v>287</v>
      </c>
      <c r="D79" s="7">
        <v>0</v>
      </c>
      <c r="E79" s="17" cm="1">
        <f t="array" aca="1" ref="E79" ca="1">INDIRECT("'"&amp;$C79&amp;"'!"&amp;E$2&amp;MATCH($D79,INDIRECT("'"&amp;$C79&amp;"'!$A:$A"),0))</f>
        <v>0.21934999999999999</v>
      </c>
      <c r="F79" s="17" cm="1">
        <f t="array" aca="1" ref="F79" ca="1">INDIRECT("'"&amp;$C79&amp;"'!"&amp;F$2&amp;MATCH($D79,INDIRECT("'"&amp;$C79&amp;"'!$A:$A"),0))</f>
        <v>0.89473999999999998</v>
      </c>
      <c r="G79" s="17" cm="1">
        <f t="array" aca="1" ref="G79" ca="1">INDIRECT("'"&amp;$C79&amp;"'!"&amp;G$2&amp;MATCH($D79,INDIRECT("'"&amp;$C79&amp;"'!$A:$A"),0))</f>
        <v>0.35232999999999998</v>
      </c>
      <c r="H79" s="17"/>
      <c r="I79" s="6" cm="1">
        <f t="array" aca="1" ref="I79" ca="1">INDIRECT("'"&amp;$C79&amp;"'!"&amp;I$2&amp;MATCH($D79,INDIRECT("'"&amp;$C79&amp;"'!$A:$A"),0))</f>
        <v>38</v>
      </c>
      <c r="J79" s="6" cm="1">
        <f t="array" aca="1" ref="J79" ca="1">INDIRECT("'"&amp;$C79&amp;"'!"&amp;J$2&amp;MATCH($D79,INDIRECT("'"&amp;$C79&amp;"'!$A:$A"),0))</f>
        <v>34</v>
      </c>
      <c r="K79" s="6" cm="1">
        <f t="array" aca="1" ref="K79" ca="1">INDIRECT("'"&amp;$C79&amp;"'!"&amp;K$2&amp;MATCH($D79,INDIRECT("'"&amp;$C79&amp;"'!$A:$A"),0))</f>
        <v>121</v>
      </c>
      <c r="L79" s="6" cm="1">
        <f t="array" aca="1" ref="L79" ca="1">INDIRECT("'"&amp;$C79&amp;"'!"&amp;L$2&amp;MATCH($D79,INDIRECT("'"&amp;$C79&amp;"'!$A:$A"),0))</f>
        <v>4</v>
      </c>
    </row>
    <row r="80" spans="2:12" hidden="1" outlineLevel="1" x14ac:dyDescent="0.35">
      <c r="B80" s="5" t="s">
        <v>262</v>
      </c>
      <c r="C80" s="5" t="s">
        <v>222</v>
      </c>
      <c r="D80" s="7">
        <v>0</v>
      </c>
      <c r="E80" s="17" cm="1">
        <f t="array" aca="1" ref="E80" ca="1">INDIRECT("'"&amp;$C80&amp;"'!"&amp;E$2&amp;MATCH($D80,INDIRECT("'"&amp;$C80&amp;"'!$A:$A"),0))</f>
        <v>0.27611999999999998</v>
      </c>
      <c r="F80" s="17" cm="1">
        <f t="array" aca="1" ref="F80" ca="1">INDIRECT("'"&amp;$C80&amp;"'!"&amp;F$2&amp;MATCH($D80,INDIRECT("'"&amp;$C80&amp;"'!$A:$A"),0))</f>
        <v>0.97367999999999999</v>
      </c>
      <c r="G80" s="17" cm="1">
        <f t="array" aca="1" ref="G80" ca="1">INDIRECT("'"&amp;$C80&amp;"'!"&amp;G$2&amp;MATCH($D80,INDIRECT("'"&amp;$C80&amp;"'!$A:$A"),0))</f>
        <v>0.43023</v>
      </c>
      <c r="H80" s="17"/>
      <c r="I80" s="6" cm="1">
        <f t="array" aca="1" ref="I80" ca="1">INDIRECT("'"&amp;$C80&amp;"'!"&amp;I$2&amp;MATCH($D80,INDIRECT("'"&amp;$C80&amp;"'!$A:$A"),0))</f>
        <v>38</v>
      </c>
      <c r="J80" s="6" cm="1">
        <f t="array" aca="1" ref="J80" ca="1">INDIRECT("'"&amp;$C80&amp;"'!"&amp;J$2&amp;MATCH($D80,INDIRECT("'"&amp;$C80&amp;"'!$A:$A"),0))</f>
        <v>37</v>
      </c>
      <c r="K80" s="6" cm="1">
        <f t="array" aca="1" ref="K80" ca="1">INDIRECT("'"&amp;$C80&amp;"'!"&amp;K$2&amp;MATCH($D80,INDIRECT("'"&amp;$C80&amp;"'!$A:$A"),0))</f>
        <v>97</v>
      </c>
      <c r="L80" s="6" cm="1">
        <f t="array" aca="1" ref="L80" ca="1">INDIRECT("'"&amp;$C80&amp;"'!"&amp;L$2&amp;MATCH($D80,INDIRECT("'"&amp;$C80&amp;"'!$A:$A"),0))</f>
        <v>1</v>
      </c>
    </row>
    <row r="81" spans="2:14" hidden="1" outlineLevel="1" x14ac:dyDescent="0.35">
      <c r="B81" s="5" t="s">
        <v>263</v>
      </c>
      <c r="C81" s="5" t="s">
        <v>223</v>
      </c>
      <c r="D81" s="7">
        <v>0</v>
      </c>
      <c r="E81" s="17" cm="1">
        <f t="array" aca="1" ref="E81" ca="1">INDIRECT("'"&amp;$C81&amp;"'!"&amp;E$2&amp;MATCH($D81,INDIRECT("'"&amp;$C81&amp;"'!$A:$A"),0))</f>
        <v>0.27206000000000002</v>
      </c>
      <c r="F81" s="17" cm="1">
        <f t="array" aca="1" ref="F81" ca="1">INDIRECT("'"&amp;$C81&amp;"'!"&amp;F$2&amp;MATCH($D81,INDIRECT("'"&amp;$C81&amp;"'!$A:$A"),0))</f>
        <v>0.97367999999999999</v>
      </c>
      <c r="G81" s="17" cm="1">
        <f t="array" aca="1" ref="G81" ca="1">INDIRECT("'"&amp;$C81&amp;"'!"&amp;G$2&amp;MATCH($D81,INDIRECT("'"&amp;$C81&amp;"'!$A:$A"),0))</f>
        <v>0.42529</v>
      </c>
      <c r="H81" s="17"/>
      <c r="I81" s="6" cm="1">
        <f t="array" aca="1" ref="I81" ca="1">INDIRECT("'"&amp;$C81&amp;"'!"&amp;I$2&amp;MATCH($D81,INDIRECT("'"&amp;$C81&amp;"'!$A:$A"),0))</f>
        <v>38</v>
      </c>
      <c r="J81" s="6" cm="1">
        <f t="array" aca="1" ref="J81" ca="1">INDIRECT("'"&amp;$C81&amp;"'!"&amp;J$2&amp;MATCH($D81,INDIRECT("'"&amp;$C81&amp;"'!$A:$A"),0))</f>
        <v>37</v>
      </c>
      <c r="K81" s="6" cm="1">
        <f t="array" aca="1" ref="K81" ca="1">INDIRECT("'"&amp;$C81&amp;"'!"&amp;K$2&amp;MATCH($D81,INDIRECT("'"&amp;$C81&amp;"'!$A:$A"),0))</f>
        <v>99</v>
      </c>
      <c r="L81" s="6" cm="1">
        <f t="array" aca="1" ref="L81" ca="1">INDIRECT("'"&amp;$C81&amp;"'!"&amp;L$2&amp;MATCH($D81,INDIRECT("'"&amp;$C81&amp;"'!$A:$A"),0))</f>
        <v>1</v>
      </c>
    </row>
    <row r="82" spans="2:14" collapsed="1" x14ac:dyDescent="0.35">
      <c r="B82" s="24" t="s">
        <v>264</v>
      </c>
      <c r="C82" s="5" t="s">
        <v>224</v>
      </c>
      <c r="D82" s="7">
        <v>0</v>
      </c>
      <c r="E82" s="17" cm="1">
        <f t="array" aca="1" ref="E82" ca="1">INDIRECT("'"&amp;$C82&amp;"'!"&amp;E$2&amp;MATCH($D82,INDIRECT("'"&amp;$C82&amp;"'!$A:$A"),0))</f>
        <v>0.38635999999999998</v>
      </c>
      <c r="F82" s="17" cm="1">
        <f t="array" aca="1" ref="F82" ca="1">INDIRECT("'"&amp;$C82&amp;"'!"&amp;F$2&amp;MATCH($D82,INDIRECT("'"&amp;$C82&amp;"'!$A:$A"),0))</f>
        <v>0.89473999999999998</v>
      </c>
      <c r="G82" s="17" cm="1">
        <f t="array" aca="1" ref="G82" ca="1">INDIRECT("'"&amp;$C82&amp;"'!"&amp;G$2&amp;MATCH($D82,INDIRECT("'"&amp;$C82&amp;"'!$A:$A"),0))</f>
        <v>0.53968000000000005</v>
      </c>
      <c r="H82" s="17"/>
      <c r="I82" s="6" cm="1">
        <f t="array" aca="1" ref="I82" ca="1">INDIRECT("'"&amp;$C82&amp;"'!"&amp;I$2&amp;MATCH($D82,INDIRECT("'"&amp;$C82&amp;"'!$A:$A"),0))</f>
        <v>38</v>
      </c>
      <c r="J82" s="6" cm="1">
        <f t="array" aca="1" ref="J82" ca="1">INDIRECT("'"&amp;$C82&amp;"'!"&amp;J$2&amp;MATCH($D82,INDIRECT("'"&amp;$C82&amp;"'!$A:$A"),0))</f>
        <v>34</v>
      </c>
      <c r="K82" s="6" cm="1">
        <f t="array" aca="1" ref="K82" ca="1">INDIRECT("'"&amp;$C82&amp;"'!"&amp;K$2&amp;MATCH($D82,INDIRECT("'"&amp;$C82&amp;"'!$A:$A"),0))</f>
        <v>54</v>
      </c>
      <c r="L82" s="6" cm="1">
        <f t="array" aca="1" ref="L82" ca="1">INDIRECT("'"&amp;$C82&amp;"'!"&amp;L$2&amp;MATCH($D82,INDIRECT("'"&amp;$C82&amp;"'!$A:$A"),0))</f>
        <v>4</v>
      </c>
      <c r="M82" s="7"/>
      <c r="N82" s="9"/>
    </row>
    <row r="83" spans="2:14" hidden="1" outlineLevel="1" x14ac:dyDescent="0.35">
      <c r="B83" s="5" t="s">
        <v>265</v>
      </c>
      <c r="C83" s="5" t="s">
        <v>233</v>
      </c>
      <c r="D83" s="7">
        <v>0</v>
      </c>
      <c r="E83" s="17" cm="1">
        <f t="array" aca="1" ref="E83" ca="1">INDIRECT("'"&amp;$C83&amp;"'!"&amp;E$2&amp;MATCH($D83,INDIRECT("'"&amp;$C83&amp;"'!$A:$A"),0))</f>
        <v>0.29907</v>
      </c>
      <c r="F83" s="17" cm="1">
        <f t="array" aca="1" ref="F83" ca="1">INDIRECT("'"&amp;$C83&amp;"'!"&amp;F$2&amp;MATCH($D83,INDIRECT("'"&amp;$C83&amp;"'!$A:$A"),0))</f>
        <v>0.84211000000000003</v>
      </c>
      <c r="G83" s="17" cm="1">
        <f t="array" aca="1" ref="G83" ca="1">INDIRECT("'"&amp;$C83&amp;"'!"&amp;G$2&amp;MATCH($D83,INDIRECT("'"&amp;$C83&amp;"'!$A:$A"),0))</f>
        <v>0.44137999999999999</v>
      </c>
      <c r="H83" s="17"/>
      <c r="I83" s="6" cm="1">
        <f t="array" aca="1" ref="I83" ca="1">INDIRECT("'"&amp;$C83&amp;"'!"&amp;I$2&amp;MATCH($D83,INDIRECT("'"&amp;$C83&amp;"'!$A:$A"),0))</f>
        <v>38</v>
      </c>
      <c r="J83" s="6" cm="1">
        <f t="array" aca="1" ref="J83" ca="1">INDIRECT("'"&amp;$C83&amp;"'!"&amp;J$2&amp;MATCH($D83,INDIRECT("'"&amp;$C83&amp;"'!$A:$A"),0))</f>
        <v>32</v>
      </c>
      <c r="K83" s="6" cm="1">
        <f t="array" aca="1" ref="K83" ca="1">INDIRECT("'"&amp;$C83&amp;"'!"&amp;K$2&amp;MATCH($D83,INDIRECT("'"&amp;$C83&amp;"'!$A:$A"),0))</f>
        <v>75</v>
      </c>
      <c r="L83" s="6" cm="1">
        <f t="array" aca="1" ref="L83" ca="1">INDIRECT("'"&amp;$C83&amp;"'!"&amp;L$2&amp;MATCH($D83,INDIRECT("'"&amp;$C83&amp;"'!$A:$A"),0))</f>
        <v>6</v>
      </c>
      <c r="M83" s="7"/>
      <c r="N83" s="9"/>
    </row>
    <row r="84" spans="2:14" hidden="1" outlineLevel="1" x14ac:dyDescent="0.35">
      <c r="B84" s="5" t="s">
        <v>266</v>
      </c>
      <c r="C84" s="5" t="s">
        <v>232</v>
      </c>
      <c r="D84" s="7">
        <v>0</v>
      </c>
      <c r="E84" s="17" cm="1">
        <f t="array" aca="1" ref="E84" ca="1">INDIRECT("'"&amp;$C84&amp;"'!"&amp;E$2&amp;MATCH($D84,INDIRECT("'"&amp;$C84&amp;"'!$A:$A"),0))</f>
        <v>0.36364000000000002</v>
      </c>
      <c r="F84" s="17" cm="1">
        <f t="array" aca="1" ref="F84" ca="1">INDIRECT("'"&amp;$C84&amp;"'!"&amp;F$2&amp;MATCH($D84,INDIRECT("'"&amp;$C84&amp;"'!$A:$A"),0))</f>
        <v>0.84211000000000003</v>
      </c>
      <c r="G84" s="17" cm="1">
        <f t="array" aca="1" ref="G84" ca="1">INDIRECT("'"&amp;$C84&amp;"'!"&amp;G$2&amp;MATCH($D84,INDIRECT("'"&amp;$C84&amp;"'!$A:$A"),0))</f>
        <v>0.50793999999999995</v>
      </c>
      <c r="H84" s="17"/>
      <c r="I84" s="6" cm="1">
        <f t="array" aca="1" ref="I84" ca="1">INDIRECT("'"&amp;$C84&amp;"'!"&amp;I$2&amp;MATCH($D84,INDIRECT("'"&amp;$C84&amp;"'!$A:$A"),0))</f>
        <v>38</v>
      </c>
      <c r="J84" s="6" cm="1">
        <f t="array" aca="1" ref="J84" ca="1">INDIRECT("'"&amp;$C84&amp;"'!"&amp;J$2&amp;MATCH($D84,INDIRECT("'"&amp;$C84&amp;"'!$A:$A"),0))</f>
        <v>32</v>
      </c>
      <c r="K84" s="6" cm="1">
        <f t="array" aca="1" ref="K84" ca="1">INDIRECT("'"&amp;$C84&amp;"'!"&amp;K$2&amp;MATCH($D84,INDIRECT("'"&amp;$C84&amp;"'!$A:$A"),0))</f>
        <v>56</v>
      </c>
      <c r="L84" s="6" cm="1">
        <f t="array" aca="1" ref="L84" ca="1">INDIRECT("'"&amp;$C84&amp;"'!"&amp;L$2&amp;MATCH($D84,INDIRECT("'"&amp;$C84&amp;"'!$A:$A"),0))</f>
        <v>6</v>
      </c>
      <c r="M84" s="7"/>
      <c r="N84" s="9"/>
    </row>
    <row r="85" spans="2:14" collapsed="1" x14ac:dyDescent="0.35">
      <c r="B85" s="25" t="s">
        <v>267</v>
      </c>
      <c r="C85" s="5" t="s">
        <v>234</v>
      </c>
      <c r="D85" s="7">
        <v>0</v>
      </c>
      <c r="E85" s="17" cm="1">
        <f t="array" aca="1" ref="E85" ca="1">INDIRECT("'"&amp;$C85&amp;"'!"&amp;E$2&amp;MATCH($D85,INDIRECT("'"&amp;$C85&amp;"'!$A:$A"),0))</f>
        <v>0.47541</v>
      </c>
      <c r="F85" s="17" cm="1">
        <f t="array" aca="1" ref="F85" ca="1">INDIRECT("'"&amp;$C85&amp;"'!"&amp;F$2&amp;MATCH($D85,INDIRECT("'"&amp;$C85&amp;"'!$A:$A"),0))</f>
        <v>0.76315999999999995</v>
      </c>
      <c r="G85" s="17" cm="1">
        <f t="array" aca="1" ref="G85" ca="1">INDIRECT("'"&amp;$C85&amp;"'!"&amp;G$2&amp;MATCH($D85,INDIRECT("'"&amp;$C85&amp;"'!$A:$A"),0))</f>
        <v>0.58586000000000005</v>
      </c>
      <c r="H85" s="17"/>
      <c r="I85" s="6" cm="1">
        <f t="array" aca="1" ref="I85" ca="1">INDIRECT("'"&amp;$C85&amp;"'!"&amp;I$2&amp;MATCH($D85,INDIRECT("'"&amp;$C85&amp;"'!$A:$A"),0))</f>
        <v>38</v>
      </c>
      <c r="J85" s="6" cm="1">
        <f t="array" aca="1" ref="J85" ca="1">INDIRECT("'"&amp;$C85&amp;"'!"&amp;J$2&amp;MATCH($D85,INDIRECT("'"&amp;$C85&amp;"'!$A:$A"),0))</f>
        <v>29</v>
      </c>
      <c r="K85" s="6" cm="1">
        <f t="array" aca="1" ref="K85" ca="1">INDIRECT("'"&amp;$C85&amp;"'!"&amp;K$2&amp;MATCH($D85,INDIRECT("'"&amp;$C85&amp;"'!$A:$A"),0))</f>
        <v>32</v>
      </c>
      <c r="L85" s="6" cm="1">
        <f t="array" aca="1" ref="L85" ca="1">INDIRECT("'"&amp;$C85&amp;"'!"&amp;L$2&amp;MATCH($D85,INDIRECT("'"&amp;$C85&amp;"'!$A:$A"),0))</f>
        <v>9</v>
      </c>
      <c r="M85" s="7"/>
      <c r="N85" s="9"/>
    </row>
    <row r="86" spans="2:14" hidden="1" outlineLevel="1" x14ac:dyDescent="0.35">
      <c r="B86" s="5" t="s">
        <v>270</v>
      </c>
      <c r="C86" s="5" t="s">
        <v>268</v>
      </c>
      <c r="D86" s="7">
        <v>0</v>
      </c>
      <c r="E86" s="17" cm="1">
        <f t="array" aca="1" ref="E86" ca="1">INDIRECT("'"&amp;$C86&amp;"'!"&amp;E$2&amp;MATCH($D86,INDIRECT("'"&amp;$C86&amp;"'!$A:$A"),0))</f>
        <v>0.21384</v>
      </c>
      <c r="F86" s="17" cm="1">
        <f t="array" aca="1" ref="F86" ca="1">INDIRECT("'"&amp;$C86&amp;"'!"&amp;F$2&amp;MATCH($D86,INDIRECT("'"&amp;$C86&amp;"'!$A:$A"),0))</f>
        <v>0.89473999999999998</v>
      </c>
      <c r="G86" s="17" cm="1">
        <f t="array" aca="1" ref="G86" ca="1">INDIRECT("'"&amp;$C86&amp;"'!"&amp;G$2&amp;MATCH($D86,INDIRECT("'"&amp;$C86&amp;"'!$A:$A"),0))</f>
        <v>0.34517999999999999</v>
      </c>
      <c r="H86" s="17"/>
      <c r="I86" s="6" cm="1">
        <f t="array" aca="1" ref="I86" ca="1">INDIRECT("'"&amp;$C86&amp;"'!"&amp;I$2&amp;MATCH($D86,INDIRECT("'"&amp;$C86&amp;"'!$A:$A"),0))</f>
        <v>38</v>
      </c>
      <c r="J86" s="6" cm="1">
        <f t="array" aca="1" ref="J86" ca="1">INDIRECT("'"&amp;$C86&amp;"'!"&amp;J$2&amp;MATCH($D86,INDIRECT("'"&amp;$C86&amp;"'!$A:$A"),0))</f>
        <v>34</v>
      </c>
      <c r="K86" s="6" cm="1">
        <f t="array" aca="1" ref="K86" ca="1">INDIRECT("'"&amp;$C86&amp;"'!"&amp;K$2&amp;MATCH($D86,INDIRECT("'"&amp;$C86&amp;"'!$A:$A"),0))</f>
        <v>125</v>
      </c>
      <c r="L86" s="6" cm="1">
        <f t="array" aca="1" ref="L86" ca="1">INDIRECT("'"&amp;$C86&amp;"'!"&amp;L$2&amp;MATCH($D86,INDIRECT("'"&amp;$C86&amp;"'!$A:$A"),0))</f>
        <v>4</v>
      </c>
      <c r="M86" s="7"/>
      <c r="N86" s="9"/>
    </row>
    <row r="87" spans="2:14" collapsed="1" x14ac:dyDescent="0.35">
      <c r="B87" s="25" t="s">
        <v>271</v>
      </c>
      <c r="C87" s="5" t="s">
        <v>269</v>
      </c>
      <c r="D87" s="7">
        <v>0</v>
      </c>
      <c r="E87" s="17" cm="1">
        <f t="array" aca="1" ref="E87" ca="1">INDIRECT("'"&amp;$C87&amp;"'!"&amp;E$2&amp;MATCH($D87,INDIRECT("'"&amp;$C87&amp;"'!$A:$A"),0))</f>
        <v>0.38462000000000002</v>
      </c>
      <c r="F87" s="17" cm="1">
        <f t="array" aca="1" ref="F87" ca="1">INDIRECT("'"&amp;$C87&amp;"'!"&amp;F$2&amp;MATCH($D87,INDIRECT("'"&amp;$C87&amp;"'!$A:$A"),0))</f>
        <v>0.92105000000000004</v>
      </c>
      <c r="G87" s="17" cm="1">
        <f t="array" aca="1" ref="G87" ca="1">INDIRECT("'"&amp;$C87&amp;"'!"&amp;G$2&amp;MATCH($D87,INDIRECT("'"&amp;$C87&amp;"'!$A:$A"),0))</f>
        <v>0.54264000000000001</v>
      </c>
      <c r="H87" s="17"/>
      <c r="I87" s="6" cm="1">
        <f t="array" aca="1" ref="I87" ca="1">INDIRECT("'"&amp;$C87&amp;"'!"&amp;I$2&amp;MATCH($D87,INDIRECT("'"&amp;$C87&amp;"'!$A:$A"),0))</f>
        <v>38</v>
      </c>
      <c r="J87" s="6" cm="1">
        <f t="array" aca="1" ref="J87" ca="1">INDIRECT("'"&amp;$C87&amp;"'!"&amp;J$2&amp;MATCH($D87,INDIRECT("'"&amp;$C87&amp;"'!$A:$A"),0))</f>
        <v>35</v>
      </c>
      <c r="K87" s="6" cm="1">
        <f t="array" aca="1" ref="K87" ca="1">INDIRECT("'"&amp;$C87&amp;"'!"&amp;K$2&amp;MATCH($D87,INDIRECT("'"&amp;$C87&amp;"'!$A:$A"),0))</f>
        <v>56</v>
      </c>
      <c r="L87" s="6" cm="1">
        <f t="array" aca="1" ref="L87" ca="1">INDIRECT("'"&amp;$C87&amp;"'!"&amp;L$2&amp;MATCH($D87,INDIRECT("'"&amp;$C87&amp;"'!$A:$A"),0))</f>
        <v>3</v>
      </c>
      <c r="M87" s="7"/>
      <c r="N87" s="9"/>
    </row>
    <row r="88" spans="2:14" x14ac:dyDescent="0.35">
      <c r="D88" s="7"/>
      <c r="E88" s="17"/>
      <c r="F88" s="17"/>
      <c r="G88" s="17"/>
      <c r="H88" s="17"/>
      <c r="M88" s="7"/>
      <c r="N88" s="9"/>
    </row>
    <row r="90" spans="2:14" x14ac:dyDescent="0.35">
      <c r="B90" s="24" t="s">
        <v>246</v>
      </c>
      <c r="C90" s="5" t="s">
        <v>249</v>
      </c>
      <c r="D90" s="7">
        <v>1</v>
      </c>
      <c r="E90" s="17" cm="1">
        <f t="array" aca="1" ref="E90" ca="1">INDIRECT("'"&amp;$C90&amp;"'!"&amp;E$2&amp;MATCH($D90,INDIRECT("'"&amp;$C90&amp;"'!$A:$A"),0))</f>
        <v>0.78378000000000003</v>
      </c>
      <c r="F90" s="17" cm="1">
        <f t="array" aca="1" ref="F90" ca="1">INDIRECT("'"&amp;$C90&amp;"'!"&amp;F$2&amp;MATCH($D90,INDIRECT("'"&amp;$C90&amp;"'!$A:$A"),0))</f>
        <v>0.76315999999999995</v>
      </c>
      <c r="G90" s="17" cm="1">
        <f t="array" aca="1" ref="G90" ca="1">INDIRECT("'"&amp;$C90&amp;"'!"&amp;G$2&amp;MATCH($D90,INDIRECT("'"&amp;$C90&amp;"'!$A:$A"),0))</f>
        <v>0.77332999999999996</v>
      </c>
      <c r="H90" s="17"/>
      <c r="I90" s="6" cm="1">
        <f t="array" aca="1" ref="I90" ca="1">INDIRECT("'"&amp;$C90&amp;"'!"&amp;I$2&amp;MATCH($D90,INDIRECT("'"&amp;$C90&amp;"'!$A:$A"),0))</f>
        <v>38</v>
      </c>
      <c r="J90" s="6" cm="1">
        <f t="array" aca="1" ref="J90" ca="1">INDIRECT("'"&amp;$C90&amp;"'!"&amp;J$2&amp;MATCH($D90,INDIRECT("'"&amp;$C90&amp;"'!$A:$A"),0))</f>
        <v>29</v>
      </c>
      <c r="K90" s="6" cm="1">
        <f t="array" aca="1" ref="K90" ca="1">INDIRECT("'"&amp;$C90&amp;"'!"&amp;K$2&amp;MATCH($D90,INDIRECT("'"&amp;$C90&amp;"'!$A:$A"),0))</f>
        <v>8</v>
      </c>
      <c r="L90" s="6" cm="1">
        <f t="array" aca="1" ref="L90" ca="1">INDIRECT("'"&amp;$C90&amp;"'!"&amp;L$2&amp;MATCH($D90,INDIRECT("'"&amp;$C90&amp;"'!$A:$A"),0))</f>
        <v>9</v>
      </c>
    </row>
    <row r="91" spans="2:14" x14ac:dyDescent="0.35">
      <c r="B91" s="25" t="s">
        <v>251</v>
      </c>
      <c r="C91" s="5" t="s">
        <v>250</v>
      </c>
      <c r="D91" s="7">
        <v>1</v>
      </c>
      <c r="E91" s="17" cm="1">
        <f t="array" aca="1" ref="E91" ca="1">INDIRECT("'"&amp;$C91&amp;"'!"&amp;E$2&amp;MATCH($D91,INDIRECT("'"&amp;$C91&amp;"'!$A:$A"),0))</f>
        <v>0.62263999999999997</v>
      </c>
      <c r="F91" s="17" cm="1">
        <f t="array" aca="1" ref="F91" ca="1">INDIRECT("'"&amp;$C91&amp;"'!"&amp;F$2&amp;MATCH($D91,INDIRECT("'"&amp;$C91&amp;"'!$A:$A"),0))</f>
        <v>0.86841999999999997</v>
      </c>
      <c r="G91" s="17" cm="1">
        <f t="array" aca="1" ref="G91" ca="1">INDIRECT("'"&amp;$C91&amp;"'!"&amp;G$2&amp;MATCH($D91,INDIRECT("'"&amp;$C91&amp;"'!$A:$A"),0))</f>
        <v>0.72526999999999997</v>
      </c>
      <c r="H91" s="17"/>
      <c r="I91" s="6" cm="1">
        <f t="array" aca="1" ref="I91" ca="1">INDIRECT("'"&amp;$C91&amp;"'!"&amp;I$2&amp;MATCH($D91,INDIRECT("'"&amp;$C91&amp;"'!$A:$A"),0))</f>
        <v>38</v>
      </c>
      <c r="J91" s="6" cm="1">
        <f t="array" aca="1" ref="J91" ca="1">INDIRECT("'"&amp;$C91&amp;"'!"&amp;J$2&amp;MATCH($D91,INDIRECT("'"&amp;$C91&amp;"'!$A:$A"),0))</f>
        <v>33</v>
      </c>
      <c r="K91" s="6" cm="1">
        <f t="array" aca="1" ref="K91" ca="1">INDIRECT("'"&amp;$C91&amp;"'!"&amp;K$2&amp;MATCH($D91,INDIRECT("'"&amp;$C91&amp;"'!$A:$A"),0))</f>
        <v>20</v>
      </c>
      <c r="L91" s="6" cm="1">
        <f t="array" aca="1" ref="L91" ca="1">INDIRECT("'"&amp;$C91&amp;"'!"&amp;L$2&amp;MATCH($D91,INDIRECT("'"&amp;$C91&amp;"'!$A:$A"),0))</f>
        <v>5</v>
      </c>
    </row>
    <row r="92" spans="2:14" x14ac:dyDescent="0.35">
      <c r="B92" s="5" t="s">
        <v>252</v>
      </c>
      <c r="C92" s="5" t="s">
        <v>221</v>
      </c>
      <c r="D92" s="7">
        <v>1</v>
      </c>
      <c r="E92" s="17" cm="1">
        <f t="array" aca="1" ref="E92" ca="1">INDIRECT("'"&amp;$C92&amp;"'!"&amp;E$2&amp;MATCH($D92,INDIRECT("'"&amp;$C92&amp;"'!$A:$A"),0))</f>
        <v>0.54347999999999996</v>
      </c>
      <c r="F92" s="17" cm="1">
        <f t="array" aca="1" ref="F92" ca="1">INDIRECT("'"&amp;$C92&amp;"'!"&amp;F$2&amp;MATCH($D92,INDIRECT("'"&amp;$C92&amp;"'!$A:$A"),0))</f>
        <v>0.65788999999999997</v>
      </c>
      <c r="G92" s="17" cm="1">
        <f t="array" aca="1" ref="G92" ca="1">INDIRECT("'"&amp;$C92&amp;"'!"&amp;G$2&amp;MATCH($D92,INDIRECT("'"&amp;$C92&amp;"'!$A:$A"),0))</f>
        <v>0.59523999999999999</v>
      </c>
      <c r="H92" s="17"/>
      <c r="I92" s="6" cm="1">
        <f t="array" aca="1" ref="I92" ca="1">INDIRECT("'"&amp;$C92&amp;"'!"&amp;I$2&amp;MATCH($D92,INDIRECT("'"&amp;$C92&amp;"'!$A:$A"),0))</f>
        <v>38</v>
      </c>
      <c r="J92" s="6" cm="1">
        <f t="array" aca="1" ref="J92" ca="1">INDIRECT("'"&amp;$C92&amp;"'!"&amp;J$2&amp;MATCH($D92,INDIRECT("'"&amp;$C92&amp;"'!$A:$A"),0))</f>
        <v>25</v>
      </c>
      <c r="K92" s="6" cm="1">
        <f t="array" aca="1" ref="K92" ca="1">INDIRECT("'"&amp;$C92&amp;"'!"&amp;K$2&amp;MATCH($D92,INDIRECT("'"&amp;$C92&amp;"'!$A:$A"),0))</f>
        <v>21</v>
      </c>
      <c r="L92" s="6" cm="1">
        <f t="array" aca="1" ref="L92" ca="1">INDIRECT("'"&amp;$C92&amp;"'!"&amp;L$2&amp;MATCH($D92,INDIRECT("'"&amp;$C92&amp;"'!$A:$A"),0))</f>
        <v>13</v>
      </c>
    </row>
    <row r="93" spans="2:14" x14ac:dyDescent="0.35">
      <c r="B93" s="5" t="s">
        <v>254</v>
      </c>
      <c r="C93" s="5" t="s">
        <v>220</v>
      </c>
      <c r="D93" s="7">
        <v>1</v>
      </c>
      <c r="E93" s="17" cm="1">
        <f t="array" aca="1" ref="E93" ca="1">INDIRECT("'"&amp;$C93&amp;"'!"&amp;E$2&amp;MATCH($D93,INDIRECT("'"&amp;$C93&amp;"'!$A:$A"),0))</f>
        <v>0.35714000000000001</v>
      </c>
      <c r="F93" s="17" cm="1">
        <f t="array" aca="1" ref="F93" ca="1">INDIRECT("'"&amp;$C93&amp;"'!"&amp;F$2&amp;MATCH($D93,INDIRECT("'"&amp;$C93&amp;"'!$A:$A"),0))</f>
        <v>0.78947000000000001</v>
      </c>
      <c r="G93" s="17" cm="1">
        <f t="array" aca="1" ref="G93" ca="1">INDIRECT("'"&amp;$C93&amp;"'!"&amp;G$2&amp;MATCH($D93,INDIRECT("'"&amp;$C93&amp;"'!$A:$A"),0))</f>
        <v>0.49180000000000001</v>
      </c>
      <c r="H93" s="17"/>
      <c r="I93" s="6" cm="1">
        <f t="array" aca="1" ref="I93" ca="1">INDIRECT("'"&amp;$C93&amp;"'!"&amp;I$2&amp;MATCH($D93,INDIRECT("'"&amp;$C93&amp;"'!$A:$A"),0))</f>
        <v>38</v>
      </c>
      <c r="J93" s="6" cm="1">
        <f t="array" aca="1" ref="J93" ca="1">INDIRECT("'"&amp;$C93&amp;"'!"&amp;J$2&amp;MATCH($D93,INDIRECT("'"&amp;$C93&amp;"'!$A:$A"),0))</f>
        <v>30</v>
      </c>
      <c r="K93" s="6" cm="1">
        <f t="array" aca="1" ref="K93" ca="1">INDIRECT("'"&amp;$C93&amp;"'!"&amp;K$2&amp;MATCH($D93,INDIRECT("'"&amp;$C93&amp;"'!$A:$A"),0))</f>
        <v>54</v>
      </c>
      <c r="L93" s="6" cm="1">
        <f t="array" aca="1" ref="L93" ca="1">INDIRECT("'"&amp;$C93&amp;"'!"&amp;L$2&amp;MATCH($D93,INDIRECT("'"&amp;$C93&amp;"'!$A:$A"),0))</f>
        <v>8</v>
      </c>
    </row>
    <row r="94" spans="2:14" x14ac:dyDescent="0.35">
      <c r="B94" s="5" t="s">
        <v>253</v>
      </c>
      <c r="C94" s="5" t="s">
        <v>219</v>
      </c>
      <c r="D94" s="7">
        <v>1</v>
      </c>
      <c r="E94" s="17" cm="1">
        <f t="array" aca="1" ref="E94" ca="1">INDIRECT("'"&amp;$C94&amp;"'!"&amp;E$2&amp;MATCH($D94,INDIRECT("'"&amp;$C94&amp;"'!$A:$A"),0))</f>
        <v>0.40426000000000001</v>
      </c>
      <c r="F94" s="17" cm="1">
        <f t="array" aca="1" ref="F94" ca="1">INDIRECT("'"&amp;$C94&amp;"'!"&amp;F$2&amp;MATCH($D94,INDIRECT("'"&amp;$C94&amp;"'!$A:$A"),0))</f>
        <v>1</v>
      </c>
      <c r="G94" s="17" cm="1">
        <f t="array" aca="1" ref="G94" ca="1">INDIRECT("'"&amp;$C94&amp;"'!"&amp;G$2&amp;MATCH($D94,INDIRECT("'"&amp;$C94&amp;"'!$A:$A"),0))</f>
        <v>0.57576000000000005</v>
      </c>
      <c r="H94" s="17"/>
      <c r="I94" s="6" cm="1">
        <f t="array" aca="1" ref="I94" ca="1">INDIRECT("'"&amp;$C94&amp;"'!"&amp;I$2&amp;MATCH($D94,INDIRECT("'"&amp;$C94&amp;"'!$A:$A"),0))</f>
        <v>38</v>
      </c>
      <c r="J94" s="6" cm="1">
        <f t="array" aca="1" ref="J94" ca="1">INDIRECT("'"&amp;$C94&amp;"'!"&amp;J$2&amp;MATCH($D94,INDIRECT("'"&amp;$C94&amp;"'!$A:$A"),0))</f>
        <v>38</v>
      </c>
      <c r="K94" s="6" cm="1">
        <f t="array" aca="1" ref="K94" ca="1">INDIRECT("'"&amp;$C94&amp;"'!"&amp;K$2&amp;MATCH($D94,INDIRECT("'"&amp;$C94&amp;"'!$A:$A"),0))</f>
        <v>56</v>
      </c>
      <c r="L94" s="6" cm="1">
        <f t="array" aca="1" ref="L94" ca="1">INDIRECT("'"&amp;$C94&amp;"'!"&amp;L$2&amp;MATCH($D94,INDIRECT("'"&amp;$C94&amp;"'!$A:$A"),0))</f>
        <v>0</v>
      </c>
    </row>
    <row r="95" spans="2:14" x14ac:dyDescent="0.35">
      <c r="B95" s="24" t="s">
        <v>259</v>
      </c>
      <c r="C95" s="5" t="s">
        <v>228</v>
      </c>
      <c r="D95" s="7">
        <v>1</v>
      </c>
      <c r="E95" s="17" cm="1">
        <f t="array" aca="1" ref="E95" ca="1">INDIRECT("'"&amp;$C95&amp;"'!"&amp;E$2&amp;MATCH($D95,INDIRECT("'"&amp;$C95&amp;"'!$A:$A"),0))</f>
        <v>0.30556</v>
      </c>
      <c r="F95" s="17" cm="1">
        <f t="array" aca="1" ref="F95" ca="1">INDIRECT("'"&amp;$C95&amp;"'!"&amp;F$2&amp;MATCH($D95,INDIRECT("'"&amp;$C95&amp;"'!$A:$A"),0))</f>
        <v>0.86841999999999997</v>
      </c>
      <c r="G95" s="17" cm="1">
        <f t="array" aca="1" ref="G95" ca="1">INDIRECT("'"&amp;$C95&amp;"'!"&amp;G$2&amp;MATCH($D95,INDIRECT("'"&amp;$C95&amp;"'!$A:$A"),0))</f>
        <v>0.45205000000000001</v>
      </c>
      <c r="H95" s="17"/>
      <c r="I95" s="6" cm="1">
        <f t="array" aca="1" ref="I95" ca="1">INDIRECT("'"&amp;$C95&amp;"'!"&amp;I$2&amp;MATCH($D95,INDIRECT("'"&amp;$C95&amp;"'!$A:$A"),0))</f>
        <v>38</v>
      </c>
      <c r="J95" s="6" cm="1">
        <f t="array" aca="1" ref="J95" ca="1">INDIRECT("'"&amp;$C95&amp;"'!"&amp;J$2&amp;MATCH($D95,INDIRECT("'"&amp;$C95&amp;"'!$A:$A"),0))</f>
        <v>33</v>
      </c>
      <c r="K95" s="6" cm="1">
        <f t="array" aca="1" ref="K95" ca="1">INDIRECT("'"&amp;$C95&amp;"'!"&amp;K$2&amp;MATCH($D95,INDIRECT("'"&amp;$C95&amp;"'!$A:$A"),0))</f>
        <v>75</v>
      </c>
      <c r="L95" s="6" cm="1">
        <f t="array" aca="1" ref="L95" ca="1">INDIRECT("'"&amp;$C95&amp;"'!"&amp;L$2&amp;MATCH($D95,INDIRECT("'"&amp;$C95&amp;"'!$A:$A"),0))</f>
        <v>5</v>
      </c>
    </row>
    <row r="96" spans="2:14" x14ac:dyDescent="0.35">
      <c r="B96" s="5" t="s">
        <v>255</v>
      </c>
      <c r="C96" s="5" t="s">
        <v>218</v>
      </c>
      <c r="D96" s="7">
        <v>1</v>
      </c>
      <c r="E96" s="17" cm="1">
        <f t="array" aca="1" ref="E96" ca="1">INDIRECT("'"&amp;$C96&amp;"'!"&amp;E$2&amp;MATCH($D96,INDIRECT("'"&amp;$C96&amp;"'!$A:$A"),0))</f>
        <v>0.34831000000000001</v>
      </c>
      <c r="F96" s="17" cm="1">
        <f t="array" aca="1" ref="F96" ca="1">INDIRECT("'"&amp;$C96&amp;"'!"&amp;F$2&amp;MATCH($D96,INDIRECT("'"&amp;$C96&amp;"'!$A:$A"),0))</f>
        <v>0.81579000000000002</v>
      </c>
      <c r="G96" s="17" cm="1">
        <f t="array" aca="1" ref="G96" ca="1">INDIRECT("'"&amp;$C96&amp;"'!"&amp;G$2&amp;MATCH($D96,INDIRECT("'"&amp;$C96&amp;"'!$A:$A"),0))</f>
        <v>0.48819000000000001</v>
      </c>
      <c r="H96" s="17"/>
      <c r="I96" s="6" cm="1">
        <f t="array" aca="1" ref="I96" ca="1">INDIRECT("'"&amp;$C96&amp;"'!"&amp;I$2&amp;MATCH($D96,INDIRECT("'"&amp;$C96&amp;"'!$A:$A"),0))</f>
        <v>38</v>
      </c>
      <c r="J96" s="6" cm="1">
        <f t="array" aca="1" ref="J96" ca="1">INDIRECT("'"&amp;$C96&amp;"'!"&amp;J$2&amp;MATCH($D96,INDIRECT("'"&amp;$C96&amp;"'!$A:$A"),0))</f>
        <v>31</v>
      </c>
      <c r="K96" s="6" cm="1">
        <f t="array" aca="1" ref="K96" ca="1">INDIRECT("'"&amp;$C96&amp;"'!"&amp;K$2&amp;MATCH($D96,INDIRECT("'"&amp;$C96&amp;"'!$A:$A"),0))</f>
        <v>58</v>
      </c>
      <c r="L96" s="6" cm="1">
        <f t="array" aca="1" ref="L96" ca="1">INDIRECT("'"&amp;$C96&amp;"'!"&amp;L$2&amp;MATCH($D96,INDIRECT("'"&amp;$C96&amp;"'!$A:$A"),0))</f>
        <v>7</v>
      </c>
    </row>
    <row r="97" spans="2:12" x14ac:dyDescent="0.35">
      <c r="B97" s="5" t="s">
        <v>256</v>
      </c>
      <c r="C97" s="5" t="s">
        <v>217</v>
      </c>
      <c r="D97" s="7">
        <v>1</v>
      </c>
      <c r="E97" s="17" cm="1">
        <f t="array" aca="1" ref="E97" ca="1">INDIRECT("'"&amp;$C97&amp;"'!"&amp;E$2&amp;MATCH($D97,INDIRECT("'"&amp;$C97&amp;"'!$A:$A"),0))</f>
        <v>0.53061000000000003</v>
      </c>
      <c r="F97" s="17" cm="1">
        <f t="array" aca="1" ref="F97" ca="1">INDIRECT("'"&amp;$C97&amp;"'!"&amp;F$2&amp;MATCH($D97,INDIRECT("'"&amp;$C97&amp;"'!$A:$A"),0))</f>
        <v>0.68420999999999998</v>
      </c>
      <c r="G97" s="17" cm="1">
        <f t="array" aca="1" ref="G97" ca="1">INDIRECT("'"&amp;$C97&amp;"'!"&amp;G$2&amp;MATCH($D97,INDIRECT("'"&amp;$C97&amp;"'!$A:$A"),0))</f>
        <v>0.59770000000000001</v>
      </c>
      <c r="H97" s="17"/>
      <c r="I97" s="6" cm="1">
        <f t="array" aca="1" ref="I97" ca="1">INDIRECT("'"&amp;$C97&amp;"'!"&amp;I$2&amp;MATCH($D97,INDIRECT("'"&amp;$C97&amp;"'!$A:$A"),0))</f>
        <v>38</v>
      </c>
      <c r="J97" s="6" cm="1">
        <f t="array" aca="1" ref="J97" ca="1">INDIRECT("'"&amp;$C97&amp;"'!"&amp;J$2&amp;MATCH($D97,INDIRECT("'"&amp;$C97&amp;"'!$A:$A"),0))</f>
        <v>26</v>
      </c>
      <c r="K97" s="6" cm="1">
        <f t="array" aca="1" ref="K97" ca="1">INDIRECT("'"&amp;$C97&amp;"'!"&amp;K$2&amp;MATCH($D97,INDIRECT("'"&amp;$C97&amp;"'!$A:$A"),0))</f>
        <v>23</v>
      </c>
      <c r="L97" s="6" cm="1">
        <f t="array" aca="1" ref="L97" ca="1">INDIRECT("'"&amp;$C97&amp;"'!"&amp;L$2&amp;MATCH($D97,INDIRECT("'"&amp;$C97&amp;"'!$A:$A"),0))</f>
        <v>12</v>
      </c>
    </row>
    <row r="98" spans="2:12" x14ac:dyDescent="0.35">
      <c r="B98" s="5" t="s">
        <v>257</v>
      </c>
      <c r="C98" s="5" t="s">
        <v>216</v>
      </c>
      <c r="D98" s="7">
        <v>1</v>
      </c>
      <c r="E98" s="17" cm="1">
        <f t="array" aca="1" ref="E98" ca="1">INDIRECT("'"&amp;$C98&amp;"'!"&amp;E$2&amp;MATCH($D98,INDIRECT("'"&amp;$C98&amp;"'!$A:$A"),0))</f>
        <v>0.52727000000000002</v>
      </c>
      <c r="F98" s="17" cm="1">
        <f t="array" aca="1" ref="F98" ca="1">INDIRECT("'"&amp;$C98&amp;"'!"&amp;F$2&amp;MATCH($D98,INDIRECT("'"&amp;$C98&amp;"'!$A:$A"),0))</f>
        <v>0.76315999999999995</v>
      </c>
      <c r="G98" s="17" cm="1">
        <f t="array" aca="1" ref="G98" ca="1">INDIRECT("'"&amp;$C98&amp;"'!"&amp;G$2&amp;MATCH($D98,INDIRECT("'"&amp;$C98&amp;"'!$A:$A"),0))</f>
        <v>0.62365999999999999</v>
      </c>
      <c r="H98" s="17"/>
      <c r="I98" s="6" cm="1">
        <f t="array" aca="1" ref="I98" ca="1">INDIRECT("'"&amp;$C98&amp;"'!"&amp;I$2&amp;MATCH($D98,INDIRECT("'"&amp;$C98&amp;"'!$A:$A"),0))</f>
        <v>38</v>
      </c>
      <c r="J98" s="6" cm="1">
        <f t="array" aca="1" ref="J98" ca="1">INDIRECT("'"&amp;$C98&amp;"'!"&amp;J$2&amp;MATCH($D98,INDIRECT("'"&amp;$C98&amp;"'!$A:$A"),0))</f>
        <v>29</v>
      </c>
      <c r="K98" s="6" cm="1">
        <f t="array" aca="1" ref="K98" ca="1">INDIRECT("'"&amp;$C98&amp;"'!"&amp;K$2&amp;MATCH($D98,INDIRECT("'"&amp;$C98&amp;"'!$A:$A"),0))</f>
        <v>26</v>
      </c>
      <c r="L98" s="6" cm="1">
        <f t="array" aca="1" ref="L98" ca="1">INDIRECT("'"&amp;$C98&amp;"'!"&amp;L$2&amp;MATCH($D98,INDIRECT("'"&amp;$C98&amp;"'!$A:$A"),0))</f>
        <v>9</v>
      </c>
    </row>
    <row r="99" spans="2:12" x14ac:dyDescent="0.35">
      <c r="B99" s="5" t="s">
        <v>258</v>
      </c>
      <c r="C99" s="5" t="s">
        <v>227</v>
      </c>
      <c r="D99" s="7">
        <v>1</v>
      </c>
      <c r="E99" s="17" cm="1">
        <f t="array" aca="1" ref="E99" ca="1">INDIRECT("'"&amp;$C99&amp;"'!"&amp;E$2&amp;MATCH($D99,INDIRECT("'"&amp;$C99&amp;"'!$A:$A"),0))</f>
        <v>0.55101999999999995</v>
      </c>
      <c r="F99" s="17" cm="1">
        <f t="array" aca="1" ref="F99" ca="1">INDIRECT("'"&amp;$C99&amp;"'!"&amp;F$2&amp;MATCH($D99,INDIRECT("'"&amp;$C99&amp;"'!$A:$A"),0))</f>
        <v>0.71052999999999999</v>
      </c>
      <c r="G99" s="17" cm="1">
        <f t="array" aca="1" ref="G99" ca="1">INDIRECT("'"&amp;$C99&amp;"'!"&amp;G$2&amp;MATCH($D99,INDIRECT("'"&amp;$C99&amp;"'!$A:$A"),0))</f>
        <v>0.62068999999999996</v>
      </c>
      <c r="H99" s="17"/>
      <c r="I99" s="6" cm="1">
        <f t="array" aca="1" ref="I99" ca="1">INDIRECT("'"&amp;$C99&amp;"'!"&amp;I$2&amp;MATCH($D99,INDIRECT("'"&amp;$C99&amp;"'!$A:$A"),0))</f>
        <v>38</v>
      </c>
      <c r="J99" s="6" cm="1">
        <f t="array" aca="1" ref="J99" ca="1">INDIRECT("'"&amp;$C99&amp;"'!"&amp;J$2&amp;MATCH($D99,INDIRECT("'"&amp;$C99&amp;"'!$A:$A"),0))</f>
        <v>27</v>
      </c>
      <c r="K99" s="6" cm="1">
        <f t="array" aca="1" ref="K99" ca="1">INDIRECT("'"&amp;$C99&amp;"'!"&amp;K$2&amp;MATCH($D99,INDIRECT("'"&amp;$C99&amp;"'!$A:$A"),0))</f>
        <v>22</v>
      </c>
      <c r="L99" s="6" cm="1">
        <f t="array" aca="1" ref="L99" ca="1">INDIRECT("'"&amp;$C99&amp;"'!"&amp;L$2&amp;MATCH($D99,INDIRECT("'"&amp;$C99&amp;"'!$A:$A"),0))</f>
        <v>11</v>
      </c>
    </row>
    <row r="100" spans="2:12" x14ac:dyDescent="0.35">
      <c r="B100" s="25" t="s">
        <v>260</v>
      </c>
      <c r="C100" s="5" t="s">
        <v>247</v>
      </c>
      <c r="D100" s="7">
        <v>1</v>
      </c>
      <c r="E100" s="17" cm="1">
        <f t="array" aca="1" ref="E100" ca="1">INDIRECT("'"&amp;$C100&amp;"'!"&amp;E$2&amp;MATCH($D100,INDIRECT("'"&amp;$C100&amp;"'!$A:$A"),0))</f>
        <v>0.58333000000000002</v>
      </c>
      <c r="F100" s="17" cm="1">
        <f t="array" aca="1" ref="F100" ca="1">INDIRECT("'"&amp;$C100&amp;"'!"&amp;F$2&amp;MATCH($D100,INDIRECT("'"&amp;$C100&amp;"'!$A:$A"),0))</f>
        <v>0.73684000000000005</v>
      </c>
      <c r="G100" s="17" cm="1">
        <f t="array" aca="1" ref="G100" ca="1">INDIRECT("'"&amp;$C100&amp;"'!"&amp;G$2&amp;MATCH($D100,INDIRECT("'"&amp;$C100&amp;"'!$A:$A"),0))</f>
        <v>0.65115999999999996</v>
      </c>
      <c r="H100" s="17"/>
      <c r="I100" s="6" cm="1">
        <f t="array" aca="1" ref="I100" ca="1">INDIRECT("'"&amp;$C100&amp;"'!"&amp;I$2&amp;MATCH($D100,INDIRECT("'"&amp;$C100&amp;"'!$A:$A"),0))</f>
        <v>38</v>
      </c>
      <c r="J100" s="6" cm="1">
        <f t="array" aca="1" ref="J100" ca="1">INDIRECT("'"&amp;$C100&amp;"'!"&amp;J$2&amp;MATCH($D100,INDIRECT("'"&amp;$C100&amp;"'!$A:$A"),0))</f>
        <v>28</v>
      </c>
      <c r="K100" s="6" cm="1">
        <f t="array" aca="1" ref="K100" ca="1">INDIRECT("'"&amp;$C100&amp;"'!"&amp;K$2&amp;MATCH($D100,INDIRECT("'"&amp;$C100&amp;"'!$A:$A"),0))</f>
        <v>20</v>
      </c>
      <c r="L100" s="6" cm="1">
        <f t="array" aca="1" ref="L100" ca="1">INDIRECT("'"&amp;$C100&amp;"'!"&amp;L$2&amp;MATCH($D100,INDIRECT("'"&amp;$C100&amp;"'!$A:$A"),0))</f>
        <v>10</v>
      </c>
    </row>
    <row r="101" spans="2:12" x14ac:dyDescent="0.35">
      <c r="B101" s="25" t="s">
        <v>261</v>
      </c>
      <c r="C101" s="5" t="s">
        <v>248</v>
      </c>
      <c r="D101" s="7">
        <v>1</v>
      </c>
      <c r="E101" s="17" cm="1">
        <f t="array" aca="1" ref="E101" ca="1">INDIRECT("'"&amp;$C101&amp;"'!"&amp;E$2&amp;MATCH($D101,INDIRECT("'"&amp;$C101&amp;"'!$A:$A"),0))</f>
        <v>0.61111000000000004</v>
      </c>
      <c r="F101" s="17" cm="1">
        <f t="array" aca="1" ref="F101" ca="1">INDIRECT("'"&amp;$C101&amp;"'!"&amp;F$2&amp;MATCH($D101,INDIRECT("'"&amp;$C101&amp;"'!$A:$A"),0))</f>
        <v>0.86841999999999997</v>
      </c>
      <c r="G101" s="17" cm="1">
        <f t="array" aca="1" ref="G101" ca="1">INDIRECT("'"&amp;$C101&amp;"'!"&amp;G$2&amp;MATCH($D101,INDIRECT("'"&amp;$C101&amp;"'!$A:$A"),0))</f>
        <v>0.71738999999999997</v>
      </c>
      <c r="H101" s="17"/>
      <c r="I101" s="6" cm="1">
        <f t="array" aca="1" ref="I101" ca="1">INDIRECT("'"&amp;$C101&amp;"'!"&amp;I$2&amp;MATCH($D101,INDIRECT("'"&amp;$C101&amp;"'!$A:$A"),0))</f>
        <v>38</v>
      </c>
      <c r="J101" s="6" cm="1">
        <f t="array" aca="1" ref="J101" ca="1">INDIRECT("'"&amp;$C101&amp;"'!"&amp;J$2&amp;MATCH($D101,INDIRECT("'"&amp;$C101&amp;"'!$A:$A"),0))</f>
        <v>33</v>
      </c>
      <c r="K101" s="6" cm="1">
        <f t="array" aca="1" ref="K101" ca="1">INDIRECT("'"&amp;$C101&amp;"'!"&amp;K$2&amp;MATCH($D101,INDIRECT("'"&amp;$C101&amp;"'!$A:$A"),0))</f>
        <v>21</v>
      </c>
      <c r="L101" s="6" cm="1">
        <f t="array" aca="1" ref="L101" ca="1">INDIRECT("'"&amp;$C101&amp;"'!"&amp;L$2&amp;MATCH($D101,INDIRECT("'"&amp;$C101&amp;"'!$A:$A"),0))</f>
        <v>5</v>
      </c>
    </row>
    <row r="102" spans="2:12" x14ac:dyDescent="0.35">
      <c r="B102" s="5" t="s">
        <v>282</v>
      </c>
      <c r="C102" s="5" t="s">
        <v>285</v>
      </c>
      <c r="D102" s="7">
        <v>1</v>
      </c>
      <c r="E102" s="17" cm="1">
        <f t="array" aca="1" ref="E102" ca="1">INDIRECT("'"&amp;$C102&amp;"'!"&amp;E$2&amp;MATCH($D102,INDIRECT("'"&amp;$C102&amp;"'!$A:$A"),0))</f>
        <v>0.64285999999999999</v>
      </c>
      <c r="F102" s="17" cm="1">
        <f t="array" aca="1" ref="F102" ca="1">INDIRECT("'"&amp;$C102&amp;"'!"&amp;F$2&amp;MATCH($D102,INDIRECT("'"&amp;$C102&amp;"'!$A:$A"),0))</f>
        <v>0.71052999999999999</v>
      </c>
      <c r="G102" s="17" cm="1">
        <f t="array" aca="1" ref="G102" ca="1">INDIRECT("'"&amp;$C102&amp;"'!"&amp;G$2&amp;MATCH($D102,INDIRECT("'"&amp;$C102&amp;"'!$A:$A"),0))</f>
        <v>0.67500000000000004</v>
      </c>
      <c r="H102" s="17"/>
      <c r="I102" s="6" cm="1">
        <f t="array" aca="1" ref="I102" ca="1">INDIRECT("'"&amp;$C102&amp;"'!"&amp;I$2&amp;MATCH($D102,INDIRECT("'"&amp;$C102&amp;"'!$A:$A"),0))</f>
        <v>38</v>
      </c>
      <c r="J102" s="6" cm="1">
        <f t="array" aca="1" ref="J102" ca="1">INDIRECT("'"&amp;$C102&amp;"'!"&amp;J$2&amp;MATCH($D102,INDIRECT("'"&amp;$C102&amp;"'!$A:$A"),0))</f>
        <v>27</v>
      </c>
      <c r="K102" s="6" cm="1">
        <f t="array" aca="1" ref="K102" ca="1">INDIRECT("'"&amp;$C102&amp;"'!"&amp;K$2&amp;MATCH($D102,INDIRECT("'"&amp;$C102&amp;"'!$A:$A"),0))</f>
        <v>15</v>
      </c>
      <c r="L102" s="6" cm="1">
        <f t="array" aca="1" ref="L102" ca="1">INDIRECT("'"&amp;$C102&amp;"'!"&amp;L$2&amp;MATCH($D102,INDIRECT("'"&amp;$C102&amp;"'!$A:$A"),0))</f>
        <v>11</v>
      </c>
    </row>
    <row r="103" spans="2:12" x14ac:dyDescent="0.35">
      <c r="B103" s="5" t="s">
        <v>283</v>
      </c>
      <c r="C103" s="5" t="s">
        <v>286</v>
      </c>
      <c r="D103" s="7">
        <v>1</v>
      </c>
      <c r="E103" s="17" cm="1">
        <f t="array" aca="1" ref="E103" ca="1">INDIRECT("'"&amp;$C103&amp;"'!"&amp;E$2&amp;MATCH($D103,INDIRECT("'"&amp;$C103&amp;"'!$A:$A"),0))</f>
        <v>0.41332999999999998</v>
      </c>
      <c r="F103" s="17" cm="1">
        <f t="array" aca="1" ref="F103" ca="1">INDIRECT("'"&amp;$C103&amp;"'!"&amp;F$2&amp;MATCH($D103,INDIRECT("'"&amp;$C103&amp;"'!$A:$A"),0))</f>
        <v>0.81579000000000002</v>
      </c>
      <c r="G103" s="17" cm="1">
        <f t="array" aca="1" ref="G103" ca="1">INDIRECT("'"&amp;$C103&amp;"'!"&amp;G$2&amp;MATCH($D103,INDIRECT("'"&amp;$C103&amp;"'!$A:$A"),0))</f>
        <v>0.54866999999999999</v>
      </c>
      <c r="H103" s="17"/>
      <c r="I103" s="6" cm="1">
        <f t="array" aca="1" ref="I103" ca="1">INDIRECT("'"&amp;$C103&amp;"'!"&amp;I$2&amp;MATCH($D103,INDIRECT("'"&amp;$C103&amp;"'!$A:$A"),0))</f>
        <v>38</v>
      </c>
      <c r="J103" s="6" cm="1">
        <f t="array" aca="1" ref="J103" ca="1">INDIRECT("'"&amp;$C103&amp;"'!"&amp;J$2&amp;MATCH($D103,INDIRECT("'"&amp;$C103&amp;"'!$A:$A"),0))</f>
        <v>31</v>
      </c>
      <c r="K103" s="6" cm="1">
        <f t="array" aca="1" ref="K103" ca="1">INDIRECT("'"&amp;$C103&amp;"'!"&amp;K$2&amp;MATCH($D103,INDIRECT("'"&amp;$C103&amp;"'!$A:$A"),0))</f>
        <v>44</v>
      </c>
      <c r="L103" s="6" cm="1">
        <f t="array" aca="1" ref="L103" ca="1">INDIRECT("'"&amp;$C103&amp;"'!"&amp;L$2&amp;MATCH($D103,INDIRECT("'"&amp;$C103&amp;"'!$A:$A"),0))</f>
        <v>7</v>
      </c>
    </row>
    <row r="104" spans="2:12" x14ac:dyDescent="0.35">
      <c r="B104" s="5" t="s">
        <v>284</v>
      </c>
      <c r="C104" s="5" t="s">
        <v>287</v>
      </c>
      <c r="D104" s="7">
        <v>1</v>
      </c>
      <c r="E104" s="17" cm="1">
        <f t="array" aca="1" ref="E104" ca="1">INDIRECT("'"&amp;$C104&amp;"'!"&amp;E$2&amp;MATCH($D104,INDIRECT("'"&amp;$C104&amp;"'!$A:$A"),0))</f>
        <v>0.64583000000000002</v>
      </c>
      <c r="F104" s="17" cm="1">
        <f t="array" aca="1" ref="F104" ca="1">INDIRECT("'"&amp;$C104&amp;"'!"&amp;F$2&amp;MATCH($D104,INDIRECT("'"&amp;$C104&amp;"'!$A:$A"),0))</f>
        <v>0.81579000000000002</v>
      </c>
      <c r="G104" s="17" cm="1">
        <f t="array" aca="1" ref="G104" ca="1">INDIRECT("'"&amp;$C104&amp;"'!"&amp;G$2&amp;MATCH($D104,INDIRECT("'"&amp;$C104&amp;"'!$A:$A"),0))</f>
        <v>0.72092999999999996</v>
      </c>
      <c r="H104" s="17"/>
      <c r="I104" s="6" cm="1">
        <f t="array" aca="1" ref="I104" ca="1">INDIRECT("'"&amp;$C104&amp;"'!"&amp;I$2&amp;MATCH($D104,INDIRECT("'"&amp;$C104&amp;"'!$A:$A"),0))</f>
        <v>38</v>
      </c>
      <c r="J104" s="6" cm="1">
        <f t="array" aca="1" ref="J104" ca="1">INDIRECT("'"&amp;$C104&amp;"'!"&amp;J$2&amp;MATCH($D104,INDIRECT("'"&amp;$C104&amp;"'!$A:$A"),0))</f>
        <v>31</v>
      </c>
      <c r="K104" s="6" cm="1">
        <f t="array" aca="1" ref="K104" ca="1">INDIRECT("'"&amp;$C104&amp;"'!"&amp;K$2&amp;MATCH($D104,INDIRECT("'"&amp;$C104&amp;"'!$A:$A"),0))</f>
        <v>17</v>
      </c>
      <c r="L104" s="6" cm="1">
        <f t="array" aca="1" ref="L104" ca="1">INDIRECT("'"&amp;$C104&amp;"'!"&amp;L$2&amp;MATCH($D104,INDIRECT("'"&amp;$C104&amp;"'!$A:$A"),0))</f>
        <v>7</v>
      </c>
    </row>
    <row r="105" spans="2:12" x14ac:dyDescent="0.35">
      <c r="B105" s="5" t="s">
        <v>262</v>
      </c>
      <c r="C105" s="5" t="s">
        <v>222</v>
      </c>
      <c r="D105" s="7">
        <v>1</v>
      </c>
      <c r="E105" s="17" cm="1">
        <f t="array" aca="1" ref="E105" ca="1">INDIRECT("'"&amp;$C105&amp;"'!"&amp;E$2&amp;MATCH($D105,INDIRECT("'"&amp;$C105&amp;"'!$A:$A"),0))</f>
        <v>0.61538000000000004</v>
      </c>
      <c r="F105" s="17" cm="1">
        <f t="array" aca="1" ref="F105" ca="1">INDIRECT("'"&amp;$C105&amp;"'!"&amp;F$2&amp;MATCH($D105,INDIRECT("'"&amp;$C105&amp;"'!$A:$A"),0))</f>
        <v>0.84211000000000003</v>
      </c>
      <c r="G105" s="17" cm="1">
        <f t="array" aca="1" ref="G105" ca="1">INDIRECT("'"&amp;$C105&amp;"'!"&amp;G$2&amp;MATCH($D105,INDIRECT("'"&amp;$C105&amp;"'!$A:$A"),0))</f>
        <v>0.71111000000000002</v>
      </c>
      <c r="H105" s="17"/>
      <c r="I105" s="6" cm="1">
        <f t="array" aca="1" ref="I105" ca="1">INDIRECT("'"&amp;$C105&amp;"'!"&amp;I$2&amp;MATCH($D105,INDIRECT("'"&amp;$C105&amp;"'!$A:$A"),0))</f>
        <v>38</v>
      </c>
      <c r="J105" s="6" cm="1">
        <f t="array" aca="1" ref="J105" ca="1">INDIRECT("'"&amp;$C105&amp;"'!"&amp;J$2&amp;MATCH($D105,INDIRECT("'"&amp;$C105&amp;"'!$A:$A"),0))</f>
        <v>32</v>
      </c>
      <c r="K105" s="6" cm="1">
        <f t="array" aca="1" ref="K105" ca="1">INDIRECT("'"&amp;$C105&amp;"'!"&amp;K$2&amp;MATCH($D105,INDIRECT("'"&amp;$C105&amp;"'!$A:$A"),0))</f>
        <v>20</v>
      </c>
      <c r="L105" s="6" cm="1">
        <f t="array" aca="1" ref="L105" ca="1">INDIRECT("'"&amp;$C105&amp;"'!"&amp;L$2&amp;MATCH($D105,INDIRECT("'"&amp;$C105&amp;"'!$A:$A"),0))</f>
        <v>6</v>
      </c>
    </row>
    <row r="106" spans="2:12" x14ac:dyDescent="0.35">
      <c r="B106" s="5" t="s">
        <v>263</v>
      </c>
      <c r="C106" s="5" t="s">
        <v>223</v>
      </c>
      <c r="D106" s="7">
        <v>1</v>
      </c>
      <c r="E106" s="17" cm="1">
        <f t="array" aca="1" ref="E106" ca="1">INDIRECT("'"&amp;$C106&amp;"'!"&amp;E$2&amp;MATCH($D106,INDIRECT("'"&amp;$C106&amp;"'!$A:$A"),0))</f>
        <v>0.59258999999999995</v>
      </c>
      <c r="F106" s="17" cm="1">
        <f t="array" aca="1" ref="F106" ca="1">INDIRECT("'"&amp;$C106&amp;"'!"&amp;F$2&amp;MATCH($D106,INDIRECT("'"&amp;$C106&amp;"'!$A:$A"),0))</f>
        <v>0.84211000000000003</v>
      </c>
      <c r="G106" s="17" cm="1">
        <f t="array" aca="1" ref="G106" ca="1">INDIRECT("'"&amp;$C106&amp;"'!"&amp;G$2&amp;MATCH($D106,INDIRECT("'"&amp;$C106&amp;"'!$A:$A"),0))</f>
        <v>0.69564999999999999</v>
      </c>
      <c r="H106" s="17"/>
      <c r="I106" s="6" cm="1">
        <f t="array" aca="1" ref="I106" ca="1">INDIRECT("'"&amp;$C106&amp;"'!"&amp;I$2&amp;MATCH($D106,INDIRECT("'"&amp;$C106&amp;"'!$A:$A"),0))</f>
        <v>38</v>
      </c>
      <c r="J106" s="6" cm="1">
        <f t="array" aca="1" ref="J106" ca="1">INDIRECT("'"&amp;$C106&amp;"'!"&amp;J$2&amp;MATCH($D106,INDIRECT("'"&amp;$C106&amp;"'!$A:$A"),0))</f>
        <v>32</v>
      </c>
      <c r="K106" s="6" cm="1">
        <f t="array" aca="1" ref="K106" ca="1">INDIRECT("'"&amp;$C106&amp;"'!"&amp;K$2&amp;MATCH($D106,INDIRECT("'"&amp;$C106&amp;"'!$A:$A"),0))</f>
        <v>22</v>
      </c>
      <c r="L106" s="6" cm="1">
        <f t="array" aca="1" ref="L106" ca="1">INDIRECT("'"&amp;$C106&amp;"'!"&amp;L$2&amp;MATCH($D106,INDIRECT("'"&amp;$C106&amp;"'!$A:$A"),0))</f>
        <v>6</v>
      </c>
    </row>
    <row r="107" spans="2:12" x14ac:dyDescent="0.35">
      <c r="B107" s="24" t="s">
        <v>264</v>
      </c>
      <c r="C107" s="5" t="s">
        <v>224</v>
      </c>
      <c r="D107" s="7">
        <v>1</v>
      </c>
      <c r="E107" s="17" cm="1">
        <f t="array" aca="1" ref="E107" ca="1">INDIRECT("'"&amp;$C107&amp;"'!"&amp;E$2&amp;MATCH($D107,INDIRECT("'"&amp;$C107&amp;"'!$A:$A"),0))</f>
        <v>0.4375</v>
      </c>
      <c r="F107" s="17" cm="1">
        <f t="array" aca="1" ref="F107" ca="1">INDIRECT("'"&amp;$C107&amp;"'!"&amp;F$2&amp;MATCH($D107,INDIRECT("'"&amp;$C107&amp;"'!$A:$A"),0))</f>
        <v>0.92105000000000004</v>
      </c>
      <c r="G107" s="17" cm="1">
        <f t="array" aca="1" ref="G107" ca="1">INDIRECT("'"&amp;$C107&amp;"'!"&amp;G$2&amp;MATCH($D107,INDIRECT("'"&amp;$C107&amp;"'!$A:$A"),0))</f>
        <v>0.59321999999999997</v>
      </c>
      <c r="H107" s="17"/>
      <c r="I107" s="6" cm="1">
        <f t="array" aca="1" ref="I107" ca="1">INDIRECT("'"&amp;$C107&amp;"'!"&amp;I$2&amp;MATCH($D107,INDIRECT("'"&amp;$C107&amp;"'!$A:$A"),0))</f>
        <v>38</v>
      </c>
      <c r="J107" s="6" cm="1">
        <f t="array" aca="1" ref="J107" ca="1">INDIRECT("'"&amp;$C107&amp;"'!"&amp;J$2&amp;MATCH($D107,INDIRECT("'"&amp;$C107&amp;"'!$A:$A"),0))</f>
        <v>35</v>
      </c>
      <c r="K107" s="6" cm="1">
        <f t="array" aca="1" ref="K107" ca="1">INDIRECT("'"&amp;$C107&amp;"'!"&amp;K$2&amp;MATCH($D107,INDIRECT("'"&amp;$C107&amp;"'!$A:$A"),0))</f>
        <v>45</v>
      </c>
      <c r="L107" s="6" cm="1">
        <f t="array" aca="1" ref="L107" ca="1">INDIRECT("'"&amp;$C107&amp;"'!"&amp;L$2&amp;MATCH($D107,INDIRECT("'"&amp;$C107&amp;"'!$A:$A"),0))</f>
        <v>3</v>
      </c>
    </row>
    <row r="108" spans="2:12" x14ac:dyDescent="0.35">
      <c r="B108" s="5" t="s">
        <v>265</v>
      </c>
      <c r="C108" s="5" t="s">
        <v>233</v>
      </c>
      <c r="D108" s="7">
        <v>1</v>
      </c>
      <c r="E108" s="17" cm="1">
        <f t="array" aca="1" ref="E108" ca="1">INDIRECT("'"&amp;$C108&amp;"'!"&amp;E$2&amp;MATCH($D108,INDIRECT("'"&amp;$C108&amp;"'!$A:$A"),0))</f>
        <v>0.39129999999999998</v>
      </c>
      <c r="F108" s="17" cm="1">
        <f t="array" aca="1" ref="F108" ca="1">INDIRECT("'"&amp;$C108&amp;"'!"&amp;F$2&amp;MATCH($D108,INDIRECT("'"&amp;$C108&amp;"'!$A:$A"),0))</f>
        <v>0.94737000000000005</v>
      </c>
      <c r="G108" s="17" cm="1">
        <f t="array" aca="1" ref="G108" ca="1">INDIRECT("'"&amp;$C108&amp;"'!"&amp;G$2&amp;MATCH($D108,INDIRECT("'"&amp;$C108&amp;"'!$A:$A"),0))</f>
        <v>0.55384999999999995</v>
      </c>
      <c r="H108" s="17"/>
      <c r="I108" s="6" cm="1">
        <f t="array" aca="1" ref="I108" ca="1">INDIRECT("'"&amp;$C108&amp;"'!"&amp;I$2&amp;MATCH($D108,INDIRECT("'"&amp;$C108&amp;"'!$A:$A"),0))</f>
        <v>38</v>
      </c>
      <c r="J108" s="6" cm="1">
        <f t="array" aca="1" ref="J108" ca="1">INDIRECT("'"&amp;$C108&amp;"'!"&amp;J$2&amp;MATCH($D108,INDIRECT("'"&amp;$C108&amp;"'!$A:$A"),0))</f>
        <v>36</v>
      </c>
      <c r="K108" s="6" cm="1">
        <f t="array" aca="1" ref="K108" ca="1">INDIRECT("'"&amp;$C108&amp;"'!"&amp;K$2&amp;MATCH($D108,INDIRECT("'"&amp;$C108&amp;"'!$A:$A"),0))</f>
        <v>56</v>
      </c>
      <c r="L108" s="6" cm="1">
        <f t="array" aca="1" ref="L108" ca="1">INDIRECT("'"&amp;$C108&amp;"'!"&amp;L$2&amp;MATCH($D108,INDIRECT("'"&amp;$C108&amp;"'!$A:$A"),0))</f>
        <v>2</v>
      </c>
    </row>
    <row r="109" spans="2:12" x14ac:dyDescent="0.35">
      <c r="B109" s="5" t="s">
        <v>266</v>
      </c>
      <c r="C109" s="5" t="s">
        <v>232</v>
      </c>
      <c r="D109" s="7">
        <v>1</v>
      </c>
      <c r="E109" s="17" cm="1">
        <f t="array" aca="1" ref="E109" ca="1">INDIRECT("'"&amp;$C109&amp;"'!"&amp;E$2&amp;MATCH($D109,INDIRECT("'"&amp;$C109&amp;"'!$A:$A"),0))</f>
        <v>0.51515</v>
      </c>
      <c r="F109" s="17" cm="1">
        <f t="array" aca="1" ref="F109" ca="1">INDIRECT("'"&amp;$C109&amp;"'!"&amp;F$2&amp;MATCH($D109,INDIRECT("'"&amp;$C109&amp;"'!$A:$A"),0))</f>
        <v>0.89473999999999998</v>
      </c>
      <c r="G109" s="17" cm="1">
        <f t="array" aca="1" ref="G109" ca="1">INDIRECT("'"&amp;$C109&amp;"'!"&amp;G$2&amp;MATCH($D109,INDIRECT("'"&amp;$C109&amp;"'!$A:$A"),0))</f>
        <v>0.65385000000000004</v>
      </c>
      <c r="H109" s="17"/>
      <c r="I109" s="6" cm="1">
        <f t="array" aca="1" ref="I109" ca="1">INDIRECT("'"&amp;$C109&amp;"'!"&amp;I$2&amp;MATCH($D109,INDIRECT("'"&amp;$C109&amp;"'!$A:$A"),0))</f>
        <v>38</v>
      </c>
      <c r="J109" s="6" cm="1">
        <f t="array" aca="1" ref="J109" ca="1">INDIRECT("'"&amp;$C109&amp;"'!"&amp;J$2&amp;MATCH($D109,INDIRECT("'"&amp;$C109&amp;"'!$A:$A"),0))</f>
        <v>34</v>
      </c>
      <c r="K109" s="6" cm="1">
        <f t="array" aca="1" ref="K109" ca="1">INDIRECT("'"&amp;$C109&amp;"'!"&amp;K$2&amp;MATCH($D109,INDIRECT("'"&amp;$C109&amp;"'!$A:$A"),0))</f>
        <v>32</v>
      </c>
      <c r="L109" s="6" cm="1">
        <f t="array" aca="1" ref="L109" ca="1">INDIRECT("'"&amp;$C109&amp;"'!"&amp;L$2&amp;MATCH($D109,INDIRECT("'"&amp;$C109&amp;"'!$A:$A"),0))</f>
        <v>4</v>
      </c>
    </row>
    <row r="110" spans="2:12" x14ac:dyDescent="0.35">
      <c r="B110" s="25" t="s">
        <v>267</v>
      </c>
      <c r="C110" s="5" t="s">
        <v>234</v>
      </c>
      <c r="D110" s="7">
        <v>1</v>
      </c>
      <c r="E110" s="17" cm="1">
        <f t="array" aca="1" ref="E110" ca="1">INDIRECT("'"&amp;$C110&amp;"'!"&amp;E$2&amp;MATCH($D110,INDIRECT("'"&amp;$C110&amp;"'!$A:$A"),0))</f>
        <v>0.65454999999999997</v>
      </c>
      <c r="F110" s="17" cm="1">
        <f t="array" aca="1" ref="F110" ca="1">INDIRECT("'"&amp;$C110&amp;"'!"&amp;F$2&amp;MATCH($D110,INDIRECT("'"&amp;$C110&amp;"'!$A:$A"),0))</f>
        <v>0.94737000000000005</v>
      </c>
      <c r="G110" s="17" cm="1">
        <f t="array" aca="1" ref="G110" ca="1">INDIRECT("'"&amp;$C110&amp;"'!"&amp;G$2&amp;MATCH($D110,INDIRECT("'"&amp;$C110&amp;"'!$A:$A"),0))</f>
        <v>0.77419000000000004</v>
      </c>
      <c r="H110" s="17"/>
      <c r="I110" s="6" cm="1">
        <f t="array" aca="1" ref="I110" ca="1">INDIRECT("'"&amp;$C110&amp;"'!"&amp;I$2&amp;MATCH($D110,INDIRECT("'"&amp;$C110&amp;"'!$A:$A"),0))</f>
        <v>38</v>
      </c>
      <c r="J110" s="6" cm="1">
        <f t="array" aca="1" ref="J110" ca="1">INDIRECT("'"&amp;$C110&amp;"'!"&amp;J$2&amp;MATCH($D110,INDIRECT("'"&amp;$C110&amp;"'!$A:$A"),0))</f>
        <v>36</v>
      </c>
      <c r="K110" s="6" cm="1">
        <f t="array" aca="1" ref="K110" ca="1">INDIRECT("'"&amp;$C110&amp;"'!"&amp;K$2&amp;MATCH($D110,INDIRECT("'"&amp;$C110&amp;"'!$A:$A"),0))</f>
        <v>19</v>
      </c>
      <c r="L110" s="6" cm="1">
        <f t="array" aca="1" ref="L110" ca="1">INDIRECT("'"&amp;$C110&amp;"'!"&amp;L$2&amp;MATCH($D110,INDIRECT("'"&amp;$C110&amp;"'!$A:$A"),0))</f>
        <v>2</v>
      </c>
    </row>
    <row r="111" spans="2:12" x14ac:dyDescent="0.35">
      <c r="B111" s="5" t="s">
        <v>270</v>
      </c>
      <c r="C111" s="5" t="s">
        <v>268</v>
      </c>
      <c r="D111" s="7">
        <v>1</v>
      </c>
      <c r="E111" s="17" cm="1">
        <f t="array" aca="1" ref="E111" ca="1">INDIRECT("'"&amp;$C111&amp;"'!"&amp;E$2&amp;MATCH($D111,INDIRECT("'"&amp;$C111&amp;"'!$A:$A"),0))</f>
        <v>0.22561</v>
      </c>
      <c r="F111" s="17" cm="1">
        <f t="array" aca="1" ref="F111" ca="1">INDIRECT("'"&amp;$C111&amp;"'!"&amp;F$2&amp;MATCH($D111,INDIRECT("'"&amp;$C111&amp;"'!$A:$A"),0))</f>
        <v>0.97367999999999999</v>
      </c>
      <c r="G111" s="17" cm="1">
        <f t="array" aca="1" ref="G111" ca="1">INDIRECT("'"&amp;$C111&amp;"'!"&amp;G$2&amp;MATCH($D111,INDIRECT("'"&amp;$C111&amp;"'!$A:$A"),0))</f>
        <v>0.36634</v>
      </c>
      <c r="H111" s="17"/>
      <c r="I111" s="6" cm="1">
        <f t="array" aca="1" ref="I111" ca="1">INDIRECT("'"&amp;$C111&amp;"'!"&amp;I$2&amp;MATCH($D111,INDIRECT("'"&amp;$C111&amp;"'!$A:$A"),0))</f>
        <v>38</v>
      </c>
      <c r="J111" s="6" cm="1">
        <f t="array" aca="1" ref="J111" ca="1">INDIRECT("'"&amp;$C111&amp;"'!"&amp;J$2&amp;MATCH($D111,INDIRECT("'"&amp;$C111&amp;"'!$A:$A"),0))</f>
        <v>37</v>
      </c>
      <c r="K111" s="6" cm="1">
        <f t="array" aca="1" ref="K111" ca="1">INDIRECT("'"&amp;$C111&amp;"'!"&amp;K$2&amp;MATCH($D111,INDIRECT("'"&amp;$C111&amp;"'!$A:$A"),0))</f>
        <v>127</v>
      </c>
      <c r="L111" s="6" cm="1">
        <f t="array" aca="1" ref="L111" ca="1">INDIRECT("'"&amp;$C111&amp;"'!"&amp;L$2&amp;MATCH($D111,INDIRECT("'"&amp;$C111&amp;"'!$A:$A"),0))</f>
        <v>1</v>
      </c>
    </row>
    <row r="112" spans="2:12" x14ac:dyDescent="0.35">
      <c r="B112" s="25" t="s">
        <v>271</v>
      </c>
      <c r="C112" s="5" t="s">
        <v>269</v>
      </c>
      <c r="D112" s="7">
        <v>1</v>
      </c>
      <c r="E112" s="17" cm="1">
        <f t="array" aca="1" ref="E112" ca="1">INDIRECT("'"&amp;$C112&amp;"'!"&amp;E$2&amp;MATCH($D112,INDIRECT("'"&amp;$C112&amp;"'!$A:$A"),0))</f>
        <v>0.64583000000000002</v>
      </c>
      <c r="F112" s="17" cm="1">
        <f t="array" aca="1" ref="F112" ca="1">INDIRECT("'"&amp;$C112&amp;"'!"&amp;F$2&amp;MATCH($D112,INDIRECT("'"&amp;$C112&amp;"'!$A:$A"),0))</f>
        <v>0.81579000000000002</v>
      </c>
      <c r="G112" s="17" cm="1">
        <f t="array" aca="1" ref="G112" ca="1">INDIRECT("'"&amp;$C112&amp;"'!"&amp;G$2&amp;MATCH($D112,INDIRECT("'"&amp;$C112&amp;"'!$A:$A"),0))</f>
        <v>0.72092999999999996</v>
      </c>
      <c r="H112" s="17"/>
      <c r="I112" s="6" cm="1">
        <f t="array" aca="1" ref="I112" ca="1">INDIRECT("'"&amp;$C112&amp;"'!"&amp;I$2&amp;MATCH($D112,INDIRECT("'"&amp;$C112&amp;"'!$A:$A"),0))</f>
        <v>38</v>
      </c>
      <c r="J112" s="6" cm="1">
        <f t="array" aca="1" ref="J112" ca="1">INDIRECT("'"&amp;$C112&amp;"'!"&amp;J$2&amp;MATCH($D112,INDIRECT("'"&amp;$C112&amp;"'!$A:$A"),0))</f>
        <v>31</v>
      </c>
      <c r="K112" s="6" cm="1">
        <f t="array" aca="1" ref="K112" ca="1">INDIRECT("'"&amp;$C112&amp;"'!"&amp;K$2&amp;MATCH($D112,INDIRECT("'"&amp;$C112&amp;"'!$A:$A"),0))</f>
        <v>17</v>
      </c>
      <c r="L112" s="6" cm="1">
        <f t="array" aca="1" ref="L112" ca="1">INDIRECT("'"&amp;$C112&amp;"'!"&amp;L$2&amp;MATCH($D112,INDIRECT("'"&amp;$C112&amp;"'!$A:$A"),0))</f>
        <v>7</v>
      </c>
    </row>
    <row r="113" spans="2:12" x14ac:dyDescent="0.35">
      <c r="E113" s="17"/>
      <c r="F113" s="17"/>
      <c r="G113" s="17"/>
      <c r="H113" s="17"/>
    </row>
    <row r="115" spans="2:12" x14ac:dyDescent="0.35">
      <c r="B115" s="24" t="s">
        <v>246</v>
      </c>
      <c r="C115" s="5" t="s">
        <v>249</v>
      </c>
      <c r="D115" s="7">
        <v>2</v>
      </c>
      <c r="E115" s="17" cm="1">
        <f t="array" aca="1" ref="E115" ca="1">INDIRECT("'"&amp;$C115&amp;"'!"&amp;E$2&amp;MATCH($D115,INDIRECT("'"&amp;$C115&amp;"'!$A:$A"),0))</f>
        <v>0.84375</v>
      </c>
      <c r="F115" s="17" cm="1">
        <f t="array" aca="1" ref="F115" ca="1">INDIRECT("'"&amp;$C115&amp;"'!"&amp;F$2&amp;MATCH($D115,INDIRECT("'"&amp;$C115&amp;"'!$A:$A"),0))</f>
        <v>0.71052999999999999</v>
      </c>
      <c r="G115" s="17" cm="1">
        <f t="array" aca="1" ref="G115" ca="1">INDIRECT("'"&amp;$C115&amp;"'!"&amp;G$2&amp;MATCH($D115,INDIRECT("'"&amp;$C115&amp;"'!$A:$A"),0))</f>
        <v>0.77142999999999995</v>
      </c>
      <c r="H115" s="17"/>
      <c r="I115" s="6" cm="1">
        <f t="array" aca="1" ref="I115" ca="1">INDIRECT("'"&amp;$C115&amp;"'!"&amp;I$2&amp;MATCH($D115,INDIRECT("'"&amp;$C115&amp;"'!$A:$A"),0))</f>
        <v>38</v>
      </c>
      <c r="J115" s="6" cm="1">
        <f t="array" aca="1" ref="J115" ca="1">INDIRECT("'"&amp;$C115&amp;"'!"&amp;J$2&amp;MATCH($D115,INDIRECT("'"&amp;$C115&amp;"'!$A:$A"),0))</f>
        <v>27</v>
      </c>
      <c r="K115" s="6" cm="1">
        <f t="array" aca="1" ref="K115" ca="1">INDIRECT("'"&amp;$C115&amp;"'!"&amp;K$2&amp;MATCH($D115,INDIRECT("'"&amp;$C115&amp;"'!$A:$A"),0))</f>
        <v>5</v>
      </c>
      <c r="L115" s="6" cm="1">
        <f t="array" aca="1" ref="L115" ca="1">INDIRECT("'"&amp;$C115&amp;"'!"&amp;L$2&amp;MATCH($D115,INDIRECT("'"&amp;$C115&amp;"'!$A:$A"),0))</f>
        <v>11</v>
      </c>
    </row>
    <row r="116" spans="2:12" x14ac:dyDescent="0.35">
      <c r="B116" s="25" t="s">
        <v>251</v>
      </c>
      <c r="C116" s="5" t="s">
        <v>250</v>
      </c>
      <c r="D116" s="7">
        <v>2</v>
      </c>
      <c r="E116" s="17" cm="1">
        <f t="array" aca="1" ref="E116" ca="1">INDIRECT("'"&amp;$C116&amp;"'!"&amp;E$2&amp;MATCH($D116,INDIRECT("'"&amp;$C116&amp;"'!$A:$A"),0))</f>
        <v>0.64705999999999997</v>
      </c>
      <c r="F116" s="17" cm="1">
        <f t="array" aca="1" ref="F116" ca="1">INDIRECT("'"&amp;$C116&amp;"'!"&amp;F$2&amp;MATCH($D116,INDIRECT("'"&amp;$C116&amp;"'!$A:$A"),0))</f>
        <v>0.86841999999999997</v>
      </c>
      <c r="G116" s="17" cm="1">
        <f t="array" aca="1" ref="G116" ca="1">INDIRECT("'"&amp;$C116&amp;"'!"&amp;G$2&amp;MATCH($D116,INDIRECT("'"&amp;$C116&amp;"'!$A:$A"),0))</f>
        <v>0.74156999999999995</v>
      </c>
      <c r="H116" s="17"/>
      <c r="I116" s="6" cm="1">
        <f t="array" aca="1" ref="I116" ca="1">INDIRECT("'"&amp;$C116&amp;"'!"&amp;I$2&amp;MATCH($D116,INDIRECT("'"&amp;$C116&amp;"'!$A:$A"),0))</f>
        <v>38</v>
      </c>
      <c r="J116" s="6" cm="1">
        <f t="array" aca="1" ref="J116" ca="1">INDIRECT("'"&amp;$C116&amp;"'!"&amp;J$2&amp;MATCH($D116,INDIRECT("'"&amp;$C116&amp;"'!$A:$A"),0))</f>
        <v>33</v>
      </c>
      <c r="K116" s="6" cm="1">
        <f t="array" aca="1" ref="K116" ca="1">INDIRECT("'"&amp;$C116&amp;"'!"&amp;K$2&amp;MATCH($D116,INDIRECT("'"&amp;$C116&amp;"'!$A:$A"),0))</f>
        <v>18</v>
      </c>
      <c r="L116" s="6" cm="1">
        <f t="array" aca="1" ref="L116" ca="1">INDIRECT("'"&amp;$C116&amp;"'!"&amp;L$2&amp;MATCH($D116,INDIRECT("'"&amp;$C116&amp;"'!$A:$A"),0))</f>
        <v>5</v>
      </c>
    </row>
    <row r="117" spans="2:12" x14ac:dyDescent="0.35">
      <c r="B117" s="5" t="s">
        <v>252</v>
      </c>
      <c r="C117" s="5" t="s">
        <v>221</v>
      </c>
      <c r="D117" s="7">
        <v>2</v>
      </c>
      <c r="E117" s="17" cm="1">
        <f t="array" aca="1" ref="E117" ca="1">INDIRECT("'"&amp;$C117&amp;"'!"&amp;E$2&amp;MATCH($D117,INDIRECT("'"&amp;$C117&amp;"'!$A:$A"),0))</f>
        <v>0.33695999999999998</v>
      </c>
      <c r="F117" s="17" cm="1">
        <f t="array" aca="1" ref="F117" ca="1">INDIRECT("'"&amp;$C117&amp;"'!"&amp;F$2&amp;MATCH($D117,INDIRECT("'"&amp;$C117&amp;"'!$A:$A"),0))</f>
        <v>0.81579000000000002</v>
      </c>
      <c r="G117" s="17" cm="1">
        <f t="array" aca="1" ref="G117" ca="1">INDIRECT("'"&amp;$C117&amp;"'!"&amp;G$2&amp;MATCH($D117,INDIRECT("'"&amp;$C117&amp;"'!$A:$A"),0))</f>
        <v>0.47692000000000001</v>
      </c>
      <c r="H117" s="17"/>
      <c r="I117" s="6" cm="1">
        <f t="array" aca="1" ref="I117" ca="1">INDIRECT("'"&amp;$C117&amp;"'!"&amp;I$2&amp;MATCH($D117,INDIRECT("'"&amp;$C117&amp;"'!$A:$A"),0))</f>
        <v>38</v>
      </c>
      <c r="J117" s="6" cm="1">
        <f t="array" aca="1" ref="J117" ca="1">INDIRECT("'"&amp;$C117&amp;"'!"&amp;J$2&amp;MATCH($D117,INDIRECT("'"&amp;$C117&amp;"'!$A:$A"),0))</f>
        <v>31</v>
      </c>
      <c r="K117" s="6" cm="1">
        <f t="array" aca="1" ref="K117" ca="1">INDIRECT("'"&amp;$C117&amp;"'!"&amp;K$2&amp;MATCH($D117,INDIRECT("'"&amp;$C117&amp;"'!$A:$A"),0))</f>
        <v>61</v>
      </c>
      <c r="L117" s="6" cm="1">
        <f t="array" aca="1" ref="L117" ca="1">INDIRECT("'"&amp;$C117&amp;"'!"&amp;L$2&amp;MATCH($D117,INDIRECT("'"&amp;$C117&amp;"'!$A:$A"),0))</f>
        <v>7</v>
      </c>
    </row>
    <row r="118" spans="2:12" x14ac:dyDescent="0.35">
      <c r="B118" s="5" t="s">
        <v>254</v>
      </c>
      <c r="C118" s="5" t="s">
        <v>220</v>
      </c>
      <c r="D118" s="7">
        <v>2</v>
      </c>
      <c r="E118" s="17" cm="1">
        <f t="array" aca="1" ref="E118" ca="1">INDIRECT("'"&amp;$C118&amp;"'!"&amp;E$2&amp;MATCH($D118,INDIRECT("'"&amp;$C118&amp;"'!$A:$A"),0))</f>
        <v>0.29293000000000002</v>
      </c>
      <c r="F118" s="17" cm="1">
        <f t="array" aca="1" ref="F118" ca="1">INDIRECT("'"&amp;$C118&amp;"'!"&amp;F$2&amp;MATCH($D118,INDIRECT("'"&amp;$C118&amp;"'!$A:$A"),0))</f>
        <v>0.76315999999999995</v>
      </c>
      <c r="G118" s="17" cm="1">
        <f t="array" aca="1" ref="G118" ca="1">INDIRECT("'"&amp;$C118&amp;"'!"&amp;G$2&amp;MATCH($D118,INDIRECT("'"&amp;$C118&amp;"'!$A:$A"),0))</f>
        <v>0.42336000000000001</v>
      </c>
      <c r="H118" s="17"/>
      <c r="I118" s="6" cm="1">
        <f t="array" aca="1" ref="I118" ca="1">INDIRECT("'"&amp;$C118&amp;"'!"&amp;I$2&amp;MATCH($D118,INDIRECT("'"&amp;$C118&amp;"'!$A:$A"),0))</f>
        <v>38</v>
      </c>
      <c r="J118" s="6" cm="1">
        <f t="array" aca="1" ref="J118" ca="1">INDIRECT("'"&amp;$C118&amp;"'!"&amp;J$2&amp;MATCH($D118,INDIRECT("'"&amp;$C118&amp;"'!$A:$A"),0))</f>
        <v>29</v>
      </c>
      <c r="K118" s="6" cm="1">
        <f t="array" aca="1" ref="K118" ca="1">INDIRECT("'"&amp;$C118&amp;"'!"&amp;K$2&amp;MATCH($D118,INDIRECT("'"&amp;$C118&amp;"'!$A:$A"),0))</f>
        <v>70</v>
      </c>
      <c r="L118" s="6" cm="1">
        <f t="array" aca="1" ref="L118" ca="1">INDIRECT("'"&amp;$C118&amp;"'!"&amp;L$2&amp;MATCH($D118,INDIRECT("'"&amp;$C118&amp;"'!$A:$A"),0))</f>
        <v>9</v>
      </c>
    </row>
    <row r="119" spans="2:12" x14ac:dyDescent="0.35">
      <c r="B119" s="5" t="s">
        <v>253</v>
      </c>
      <c r="C119" s="5" t="s">
        <v>219</v>
      </c>
      <c r="D119" s="7">
        <v>2</v>
      </c>
      <c r="E119" s="17" cm="1">
        <f t="array" aca="1" ref="E119" ca="1">INDIRECT("'"&amp;$C119&amp;"'!"&amp;E$2&amp;MATCH($D119,INDIRECT("'"&amp;$C119&amp;"'!$A:$A"),0))</f>
        <v>0.45613999999999999</v>
      </c>
      <c r="F119" s="17" cm="1">
        <f t="array" aca="1" ref="F119" ca="1">INDIRECT("'"&amp;$C119&amp;"'!"&amp;F$2&amp;MATCH($D119,INDIRECT("'"&amp;$C119&amp;"'!$A:$A"),0))</f>
        <v>0.68420999999999998</v>
      </c>
      <c r="G119" s="17" cm="1">
        <f t="array" aca="1" ref="G119" ca="1">INDIRECT("'"&amp;$C119&amp;"'!"&amp;G$2&amp;MATCH($D119,INDIRECT("'"&amp;$C119&amp;"'!$A:$A"),0))</f>
        <v>0.54737000000000002</v>
      </c>
      <c r="H119" s="17"/>
      <c r="I119" s="6" cm="1">
        <f t="array" aca="1" ref="I119" ca="1">INDIRECT("'"&amp;$C119&amp;"'!"&amp;I$2&amp;MATCH($D119,INDIRECT("'"&amp;$C119&amp;"'!$A:$A"),0))</f>
        <v>38</v>
      </c>
      <c r="J119" s="6" cm="1">
        <f t="array" aca="1" ref="J119" ca="1">INDIRECT("'"&amp;$C119&amp;"'!"&amp;J$2&amp;MATCH($D119,INDIRECT("'"&amp;$C119&amp;"'!$A:$A"),0))</f>
        <v>26</v>
      </c>
      <c r="K119" s="6" cm="1">
        <f t="array" aca="1" ref="K119" ca="1">INDIRECT("'"&amp;$C119&amp;"'!"&amp;K$2&amp;MATCH($D119,INDIRECT("'"&amp;$C119&amp;"'!$A:$A"),0))</f>
        <v>31</v>
      </c>
      <c r="L119" s="6" cm="1">
        <f t="array" aca="1" ref="L119" ca="1">INDIRECT("'"&amp;$C119&amp;"'!"&amp;L$2&amp;MATCH($D119,INDIRECT("'"&amp;$C119&amp;"'!$A:$A"),0))</f>
        <v>12</v>
      </c>
    </row>
    <row r="120" spans="2:12" x14ac:dyDescent="0.35">
      <c r="B120" s="24" t="s">
        <v>259</v>
      </c>
      <c r="C120" s="5" t="s">
        <v>228</v>
      </c>
      <c r="D120" s="7">
        <v>2</v>
      </c>
      <c r="E120" s="17" cm="1">
        <f t="array" aca="1" ref="E120" ca="1">INDIRECT("'"&amp;$C120&amp;"'!"&amp;E$2&amp;MATCH($D120,INDIRECT("'"&amp;$C120&amp;"'!$A:$A"),0))</f>
        <v>0.37879000000000002</v>
      </c>
      <c r="F120" s="17" cm="1">
        <f t="array" aca="1" ref="F120" ca="1">INDIRECT("'"&amp;$C120&amp;"'!"&amp;F$2&amp;MATCH($D120,INDIRECT("'"&amp;$C120&amp;"'!$A:$A"),0))</f>
        <v>0.65788999999999997</v>
      </c>
      <c r="G120" s="17" cm="1">
        <f t="array" aca="1" ref="G120" ca="1">INDIRECT("'"&amp;$C120&amp;"'!"&amp;G$2&amp;MATCH($D120,INDIRECT("'"&amp;$C120&amp;"'!$A:$A"),0))</f>
        <v>0.48076999999999998</v>
      </c>
      <c r="H120" s="17"/>
      <c r="I120" s="6" cm="1">
        <f t="array" aca="1" ref="I120" ca="1">INDIRECT("'"&amp;$C120&amp;"'!"&amp;I$2&amp;MATCH($D120,INDIRECT("'"&amp;$C120&amp;"'!$A:$A"),0))</f>
        <v>38</v>
      </c>
      <c r="J120" s="6" cm="1">
        <f t="array" aca="1" ref="J120" ca="1">INDIRECT("'"&amp;$C120&amp;"'!"&amp;J$2&amp;MATCH($D120,INDIRECT("'"&amp;$C120&amp;"'!$A:$A"),0))</f>
        <v>25</v>
      </c>
      <c r="K120" s="6" cm="1">
        <f t="array" aca="1" ref="K120" ca="1">INDIRECT("'"&amp;$C120&amp;"'!"&amp;K$2&amp;MATCH($D120,INDIRECT("'"&amp;$C120&amp;"'!$A:$A"),0))</f>
        <v>41</v>
      </c>
      <c r="L120" s="6" cm="1">
        <f t="array" aca="1" ref="L120" ca="1">INDIRECT("'"&amp;$C120&amp;"'!"&amp;L$2&amp;MATCH($D120,INDIRECT("'"&amp;$C120&amp;"'!$A:$A"),0))</f>
        <v>13</v>
      </c>
    </row>
    <row r="121" spans="2:12" x14ac:dyDescent="0.35">
      <c r="B121" s="5" t="s">
        <v>255</v>
      </c>
      <c r="C121" s="5" t="s">
        <v>218</v>
      </c>
      <c r="D121" s="7">
        <v>2</v>
      </c>
      <c r="E121" s="17" cm="1">
        <f t="array" aca="1" ref="E121" ca="1">INDIRECT("'"&amp;$C121&amp;"'!"&amp;E$2&amp;MATCH($D121,INDIRECT("'"&amp;$C121&amp;"'!$A:$A"),0))</f>
        <v>0.27868999999999999</v>
      </c>
      <c r="F121" s="17" cm="1">
        <f t="array" aca="1" ref="F121" ca="1">INDIRECT("'"&amp;$C121&amp;"'!"&amp;F$2&amp;MATCH($D121,INDIRECT("'"&amp;$C121&amp;"'!$A:$A"),0))</f>
        <v>0.89473999999999998</v>
      </c>
      <c r="G121" s="17" cm="1">
        <f t="array" aca="1" ref="G121" ca="1">INDIRECT("'"&amp;$C121&amp;"'!"&amp;G$2&amp;MATCH($D121,INDIRECT("'"&amp;$C121&amp;"'!$A:$A"),0))</f>
        <v>0.42499999999999999</v>
      </c>
      <c r="H121" s="17"/>
      <c r="I121" s="6" cm="1">
        <f t="array" aca="1" ref="I121" ca="1">INDIRECT("'"&amp;$C121&amp;"'!"&amp;I$2&amp;MATCH($D121,INDIRECT("'"&amp;$C121&amp;"'!$A:$A"),0))</f>
        <v>38</v>
      </c>
      <c r="J121" s="6" cm="1">
        <f t="array" aca="1" ref="J121" ca="1">INDIRECT("'"&amp;$C121&amp;"'!"&amp;J$2&amp;MATCH($D121,INDIRECT("'"&amp;$C121&amp;"'!$A:$A"),0))</f>
        <v>34</v>
      </c>
      <c r="K121" s="6" cm="1">
        <f t="array" aca="1" ref="K121" ca="1">INDIRECT("'"&amp;$C121&amp;"'!"&amp;K$2&amp;MATCH($D121,INDIRECT("'"&amp;$C121&amp;"'!$A:$A"),0))</f>
        <v>88</v>
      </c>
      <c r="L121" s="6" cm="1">
        <f t="array" aca="1" ref="L121" ca="1">INDIRECT("'"&amp;$C121&amp;"'!"&amp;L$2&amp;MATCH($D121,INDIRECT("'"&amp;$C121&amp;"'!$A:$A"),0))</f>
        <v>4</v>
      </c>
    </row>
    <row r="122" spans="2:12" x14ac:dyDescent="0.35">
      <c r="B122" s="5" t="s">
        <v>256</v>
      </c>
      <c r="C122" s="5" t="s">
        <v>217</v>
      </c>
      <c r="D122" s="7">
        <v>2</v>
      </c>
      <c r="E122" s="17" cm="1">
        <f t="array" aca="1" ref="E122" ca="1">INDIRECT("'"&amp;$C122&amp;"'!"&amp;E$2&amp;MATCH($D122,INDIRECT("'"&amp;$C122&amp;"'!$A:$A"),0))</f>
        <v>0.32291999999999998</v>
      </c>
      <c r="F122" s="17" cm="1">
        <f t="array" aca="1" ref="F122" ca="1">INDIRECT("'"&amp;$C122&amp;"'!"&amp;F$2&amp;MATCH($D122,INDIRECT("'"&amp;$C122&amp;"'!$A:$A"),0))</f>
        <v>0.81579000000000002</v>
      </c>
      <c r="G122" s="17" cm="1">
        <f t="array" aca="1" ref="G122" ca="1">INDIRECT("'"&amp;$C122&amp;"'!"&amp;G$2&amp;MATCH($D122,INDIRECT("'"&amp;$C122&amp;"'!$A:$A"),0))</f>
        <v>0.46268999999999999</v>
      </c>
      <c r="H122" s="17"/>
      <c r="I122" s="6" cm="1">
        <f t="array" aca="1" ref="I122" ca="1">INDIRECT("'"&amp;$C122&amp;"'!"&amp;I$2&amp;MATCH($D122,INDIRECT("'"&amp;$C122&amp;"'!$A:$A"),0))</f>
        <v>38</v>
      </c>
      <c r="J122" s="6" cm="1">
        <f t="array" aca="1" ref="J122" ca="1">INDIRECT("'"&amp;$C122&amp;"'!"&amp;J$2&amp;MATCH($D122,INDIRECT("'"&amp;$C122&amp;"'!$A:$A"),0))</f>
        <v>31</v>
      </c>
      <c r="K122" s="6" cm="1">
        <f t="array" aca="1" ref="K122" ca="1">INDIRECT("'"&amp;$C122&amp;"'!"&amp;K$2&amp;MATCH($D122,INDIRECT("'"&amp;$C122&amp;"'!$A:$A"),0))</f>
        <v>65</v>
      </c>
      <c r="L122" s="6" cm="1">
        <f t="array" aca="1" ref="L122" ca="1">INDIRECT("'"&amp;$C122&amp;"'!"&amp;L$2&amp;MATCH($D122,INDIRECT("'"&amp;$C122&amp;"'!$A:$A"),0))</f>
        <v>7</v>
      </c>
    </row>
    <row r="123" spans="2:12" x14ac:dyDescent="0.35">
      <c r="B123" s="5" t="s">
        <v>257</v>
      </c>
      <c r="C123" s="5" t="s">
        <v>216</v>
      </c>
      <c r="D123" s="7">
        <v>2</v>
      </c>
      <c r="E123" s="17" cm="1">
        <f t="array" aca="1" ref="E123" ca="1">INDIRECT("'"&amp;$C123&amp;"'!"&amp;E$2&amp;MATCH($D123,INDIRECT("'"&amp;$C123&amp;"'!$A:$A"),0))</f>
        <v>0.35227000000000003</v>
      </c>
      <c r="F123" s="17" cm="1">
        <f t="array" aca="1" ref="F123" ca="1">INDIRECT("'"&amp;$C123&amp;"'!"&amp;F$2&amp;MATCH($D123,INDIRECT("'"&amp;$C123&amp;"'!$A:$A"),0))</f>
        <v>0.81579000000000002</v>
      </c>
      <c r="G123" s="17" cm="1">
        <f t="array" aca="1" ref="G123" ca="1">INDIRECT("'"&amp;$C123&amp;"'!"&amp;G$2&amp;MATCH($D123,INDIRECT("'"&amp;$C123&amp;"'!$A:$A"),0))</f>
        <v>0.49206</v>
      </c>
      <c r="H123" s="17"/>
      <c r="I123" s="6" cm="1">
        <f t="array" aca="1" ref="I123" ca="1">INDIRECT("'"&amp;$C123&amp;"'!"&amp;I$2&amp;MATCH($D123,INDIRECT("'"&amp;$C123&amp;"'!$A:$A"),0))</f>
        <v>38</v>
      </c>
      <c r="J123" s="6" cm="1">
        <f t="array" aca="1" ref="J123" ca="1">INDIRECT("'"&amp;$C123&amp;"'!"&amp;J$2&amp;MATCH($D123,INDIRECT("'"&amp;$C123&amp;"'!$A:$A"),0))</f>
        <v>31</v>
      </c>
      <c r="K123" s="6" cm="1">
        <f t="array" aca="1" ref="K123" ca="1">INDIRECT("'"&amp;$C123&amp;"'!"&amp;K$2&amp;MATCH($D123,INDIRECT("'"&amp;$C123&amp;"'!$A:$A"),0))</f>
        <v>57</v>
      </c>
      <c r="L123" s="6" cm="1">
        <f t="array" aca="1" ref="L123" ca="1">INDIRECT("'"&amp;$C123&amp;"'!"&amp;L$2&amp;MATCH($D123,INDIRECT("'"&amp;$C123&amp;"'!$A:$A"),0))</f>
        <v>7</v>
      </c>
    </row>
    <row r="124" spans="2:12" x14ac:dyDescent="0.35">
      <c r="B124" s="5" t="s">
        <v>258</v>
      </c>
      <c r="C124" s="5" t="s">
        <v>227</v>
      </c>
      <c r="D124" s="7">
        <v>2</v>
      </c>
      <c r="E124" s="17" cm="1">
        <f t="array" aca="1" ref="E124" ca="1">INDIRECT("'"&amp;$C124&amp;"'!"&amp;E$2&amp;MATCH($D124,INDIRECT("'"&amp;$C124&amp;"'!$A:$A"),0))</f>
        <v>0.37974999999999998</v>
      </c>
      <c r="F124" s="17" cm="1">
        <f t="array" aca="1" ref="F124" ca="1">INDIRECT("'"&amp;$C124&amp;"'!"&amp;F$2&amp;MATCH($D124,INDIRECT("'"&amp;$C124&amp;"'!$A:$A"),0))</f>
        <v>0.78947000000000001</v>
      </c>
      <c r="G124" s="17" cm="1">
        <f t="array" aca="1" ref="G124" ca="1">INDIRECT("'"&amp;$C124&amp;"'!"&amp;G$2&amp;MATCH($D124,INDIRECT("'"&amp;$C124&amp;"'!$A:$A"),0))</f>
        <v>0.51282000000000005</v>
      </c>
      <c r="H124" s="17"/>
      <c r="I124" s="6" cm="1">
        <f t="array" aca="1" ref="I124" ca="1">INDIRECT("'"&amp;$C124&amp;"'!"&amp;I$2&amp;MATCH($D124,INDIRECT("'"&amp;$C124&amp;"'!$A:$A"),0))</f>
        <v>38</v>
      </c>
      <c r="J124" s="6" cm="1">
        <f t="array" aca="1" ref="J124" ca="1">INDIRECT("'"&amp;$C124&amp;"'!"&amp;J$2&amp;MATCH($D124,INDIRECT("'"&amp;$C124&amp;"'!$A:$A"),0))</f>
        <v>30</v>
      </c>
      <c r="K124" s="6" cm="1">
        <f t="array" aca="1" ref="K124" ca="1">INDIRECT("'"&amp;$C124&amp;"'!"&amp;K$2&amp;MATCH($D124,INDIRECT("'"&amp;$C124&amp;"'!$A:$A"),0))</f>
        <v>49</v>
      </c>
      <c r="L124" s="6" cm="1">
        <f t="array" aca="1" ref="L124" ca="1">INDIRECT("'"&amp;$C124&amp;"'!"&amp;L$2&amp;MATCH($D124,INDIRECT("'"&amp;$C124&amp;"'!$A:$A"),0))</f>
        <v>8</v>
      </c>
    </row>
    <row r="125" spans="2:12" x14ac:dyDescent="0.35">
      <c r="B125" s="25" t="s">
        <v>260</v>
      </c>
      <c r="C125" s="5" t="s">
        <v>247</v>
      </c>
      <c r="D125" s="7">
        <v>2</v>
      </c>
      <c r="E125" s="17" cm="1">
        <f t="array" aca="1" ref="E125" ca="1">INDIRECT("'"&amp;$C125&amp;"'!"&amp;E$2&amp;MATCH($D125,INDIRECT("'"&amp;$C125&amp;"'!$A:$A"),0))</f>
        <v>0.45833000000000002</v>
      </c>
      <c r="F125" s="17" cm="1">
        <f t="array" aca="1" ref="F125" ca="1">INDIRECT("'"&amp;$C125&amp;"'!"&amp;F$2&amp;MATCH($D125,INDIRECT("'"&amp;$C125&amp;"'!$A:$A"),0))</f>
        <v>0.86841999999999997</v>
      </c>
      <c r="G125" s="17" cm="1">
        <f t="array" aca="1" ref="G125" ca="1">INDIRECT("'"&amp;$C125&amp;"'!"&amp;G$2&amp;MATCH($D125,INDIRECT("'"&amp;$C125&amp;"'!$A:$A"),0))</f>
        <v>0.6</v>
      </c>
      <c r="H125" s="17"/>
      <c r="I125" s="6" cm="1">
        <f t="array" aca="1" ref="I125" ca="1">INDIRECT("'"&amp;$C125&amp;"'!"&amp;I$2&amp;MATCH($D125,INDIRECT("'"&amp;$C125&amp;"'!$A:$A"),0))</f>
        <v>38</v>
      </c>
      <c r="J125" s="6" cm="1">
        <f t="array" aca="1" ref="J125" ca="1">INDIRECT("'"&amp;$C125&amp;"'!"&amp;J$2&amp;MATCH($D125,INDIRECT("'"&amp;$C125&amp;"'!$A:$A"),0))</f>
        <v>33</v>
      </c>
      <c r="K125" s="6" cm="1">
        <f t="array" aca="1" ref="K125" ca="1">INDIRECT("'"&amp;$C125&amp;"'!"&amp;K$2&amp;MATCH($D125,INDIRECT("'"&amp;$C125&amp;"'!$A:$A"),0))</f>
        <v>39</v>
      </c>
      <c r="L125" s="6" cm="1">
        <f t="array" aca="1" ref="L125" ca="1">INDIRECT("'"&amp;$C125&amp;"'!"&amp;L$2&amp;MATCH($D125,INDIRECT("'"&amp;$C125&amp;"'!$A:$A"),0))</f>
        <v>5</v>
      </c>
    </row>
    <row r="126" spans="2:12" x14ac:dyDescent="0.35">
      <c r="B126" s="25" t="s">
        <v>261</v>
      </c>
      <c r="C126" s="5" t="s">
        <v>248</v>
      </c>
      <c r="D126" s="7">
        <v>2</v>
      </c>
      <c r="E126" s="17" cm="1">
        <f t="array" aca="1" ref="E126" ca="1">INDIRECT("'"&amp;$C126&amp;"'!"&amp;E$2&amp;MATCH($D126,INDIRECT("'"&amp;$C126&amp;"'!$A:$A"),0))</f>
        <v>0.5</v>
      </c>
      <c r="F126" s="17" cm="1">
        <f t="array" aca="1" ref="F126" ca="1">INDIRECT("'"&amp;$C126&amp;"'!"&amp;F$2&amp;MATCH($D126,INDIRECT("'"&amp;$C126&amp;"'!$A:$A"),0))</f>
        <v>0.86841999999999997</v>
      </c>
      <c r="G126" s="17" cm="1">
        <f t="array" aca="1" ref="G126" ca="1">INDIRECT("'"&amp;$C126&amp;"'!"&amp;G$2&amp;MATCH($D126,INDIRECT("'"&amp;$C126&amp;"'!$A:$A"),0))</f>
        <v>0.63461999999999996</v>
      </c>
      <c r="H126" s="17"/>
      <c r="I126" s="6" cm="1">
        <f t="array" aca="1" ref="I126" ca="1">INDIRECT("'"&amp;$C126&amp;"'!"&amp;I$2&amp;MATCH($D126,INDIRECT("'"&amp;$C126&amp;"'!$A:$A"),0))</f>
        <v>38</v>
      </c>
      <c r="J126" s="6" cm="1">
        <f t="array" aca="1" ref="J126" ca="1">INDIRECT("'"&amp;$C126&amp;"'!"&amp;J$2&amp;MATCH($D126,INDIRECT("'"&amp;$C126&amp;"'!$A:$A"),0))</f>
        <v>33</v>
      </c>
      <c r="K126" s="6" cm="1">
        <f t="array" aca="1" ref="K126" ca="1">INDIRECT("'"&amp;$C126&amp;"'!"&amp;K$2&amp;MATCH($D126,INDIRECT("'"&amp;$C126&amp;"'!$A:$A"),0))</f>
        <v>33</v>
      </c>
      <c r="L126" s="6" cm="1">
        <f t="array" aca="1" ref="L126" ca="1">INDIRECT("'"&amp;$C126&amp;"'!"&amp;L$2&amp;MATCH($D126,INDIRECT("'"&amp;$C126&amp;"'!$A:$A"),0))</f>
        <v>5</v>
      </c>
    </row>
    <row r="127" spans="2:12" x14ac:dyDescent="0.35">
      <c r="B127" s="5" t="s">
        <v>282</v>
      </c>
      <c r="C127" s="5" t="s">
        <v>285</v>
      </c>
      <c r="D127" s="7">
        <v>2</v>
      </c>
      <c r="E127" s="17" cm="1">
        <f t="array" aca="1" ref="E127" ca="1">INDIRECT("'"&amp;$C127&amp;"'!"&amp;E$2&amp;MATCH($D127,INDIRECT("'"&amp;$C127&amp;"'!$A:$A"),0))</f>
        <v>0.37363000000000002</v>
      </c>
      <c r="F127" s="17" cm="1">
        <f t="array" aca="1" ref="F127" ca="1">INDIRECT("'"&amp;$C127&amp;"'!"&amp;F$2&amp;MATCH($D127,INDIRECT("'"&amp;$C127&amp;"'!$A:$A"),0))</f>
        <v>0.89473999999999998</v>
      </c>
      <c r="G127" s="17" cm="1">
        <f t="array" aca="1" ref="G127" ca="1">INDIRECT("'"&amp;$C127&amp;"'!"&amp;G$2&amp;MATCH($D127,INDIRECT("'"&amp;$C127&amp;"'!$A:$A"),0))</f>
        <v>0.52712999999999999</v>
      </c>
      <c r="H127" s="17"/>
      <c r="I127" s="6" cm="1">
        <f t="array" aca="1" ref="I127" ca="1">INDIRECT("'"&amp;$C127&amp;"'!"&amp;I$2&amp;MATCH($D127,INDIRECT("'"&amp;$C127&amp;"'!$A:$A"),0))</f>
        <v>38</v>
      </c>
      <c r="J127" s="6" cm="1">
        <f t="array" aca="1" ref="J127" ca="1">INDIRECT("'"&amp;$C127&amp;"'!"&amp;J$2&amp;MATCH($D127,INDIRECT("'"&amp;$C127&amp;"'!$A:$A"),0))</f>
        <v>34</v>
      </c>
      <c r="K127" s="6" cm="1">
        <f t="array" aca="1" ref="K127" ca="1">INDIRECT("'"&amp;$C127&amp;"'!"&amp;K$2&amp;MATCH($D127,INDIRECT("'"&amp;$C127&amp;"'!$A:$A"),0))</f>
        <v>57</v>
      </c>
      <c r="L127" s="6" cm="1">
        <f t="array" aca="1" ref="L127" ca="1">INDIRECT("'"&amp;$C127&amp;"'!"&amp;L$2&amp;MATCH($D127,INDIRECT("'"&amp;$C127&amp;"'!$A:$A"),0))</f>
        <v>4</v>
      </c>
    </row>
    <row r="128" spans="2:12" x14ac:dyDescent="0.35">
      <c r="B128" s="5" t="s">
        <v>283</v>
      </c>
      <c r="C128" s="5" t="s">
        <v>286</v>
      </c>
      <c r="D128" s="7">
        <v>2</v>
      </c>
      <c r="E128" s="17" cm="1">
        <f t="array" aca="1" ref="E128" ca="1">INDIRECT("'"&amp;$C128&amp;"'!"&amp;E$2&amp;MATCH($D128,INDIRECT("'"&amp;$C128&amp;"'!$A:$A"),0))</f>
        <v>0.27357999999999999</v>
      </c>
      <c r="F128" s="17" cm="1">
        <f t="array" aca="1" ref="F128" ca="1">INDIRECT("'"&amp;$C128&amp;"'!"&amp;F$2&amp;MATCH($D128,INDIRECT("'"&amp;$C128&amp;"'!$A:$A"),0))</f>
        <v>0.76315999999999995</v>
      </c>
      <c r="G128" s="17" cm="1">
        <f t="array" aca="1" ref="G128" ca="1">INDIRECT("'"&amp;$C128&amp;"'!"&amp;G$2&amp;MATCH($D128,INDIRECT("'"&amp;$C128&amp;"'!$A:$A"),0))</f>
        <v>0.40278000000000003</v>
      </c>
      <c r="H128" s="17"/>
      <c r="I128" s="6" cm="1">
        <f t="array" aca="1" ref="I128" ca="1">INDIRECT("'"&amp;$C128&amp;"'!"&amp;I$2&amp;MATCH($D128,INDIRECT("'"&amp;$C128&amp;"'!$A:$A"),0))</f>
        <v>38</v>
      </c>
      <c r="J128" s="6" cm="1">
        <f t="array" aca="1" ref="J128" ca="1">INDIRECT("'"&amp;$C128&amp;"'!"&amp;J$2&amp;MATCH($D128,INDIRECT("'"&amp;$C128&amp;"'!$A:$A"),0))</f>
        <v>29</v>
      </c>
      <c r="K128" s="6" cm="1">
        <f t="array" aca="1" ref="K128" ca="1">INDIRECT("'"&amp;$C128&amp;"'!"&amp;K$2&amp;MATCH($D128,INDIRECT("'"&amp;$C128&amp;"'!$A:$A"),0))</f>
        <v>77</v>
      </c>
      <c r="L128" s="6" cm="1">
        <f t="array" aca="1" ref="L128" ca="1">INDIRECT("'"&amp;$C128&amp;"'!"&amp;L$2&amp;MATCH($D128,INDIRECT("'"&amp;$C128&amp;"'!$A:$A"),0))</f>
        <v>9</v>
      </c>
    </row>
    <row r="129" spans="2:14" x14ac:dyDescent="0.35">
      <c r="B129" s="5" t="s">
        <v>284</v>
      </c>
      <c r="C129" s="5" t="s">
        <v>287</v>
      </c>
      <c r="D129" s="7">
        <v>2</v>
      </c>
      <c r="E129" s="17" cm="1">
        <f t="array" aca="1" ref="E129" ca="1">INDIRECT("'"&amp;$C129&amp;"'!"&amp;E$2&amp;MATCH($D129,INDIRECT("'"&amp;$C129&amp;"'!$A:$A"),0))</f>
        <v>0.41892000000000001</v>
      </c>
      <c r="F129" s="17" cm="1">
        <f t="array" aca="1" ref="F129" ca="1">INDIRECT("'"&amp;$C129&amp;"'!"&amp;F$2&amp;MATCH($D129,INDIRECT("'"&amp;$C129&amp;"'!$A:$A"),0))</f>
        <v>0.81579000000000002</v>
      </c>
      <c r="G129" s="17" cm="1">
        <f t="array" aca="1" ref="G129" ca="1">INDIRECT("'"&amp;$C129&amp;"'!"&amp;G$2&amp;MATCH($D129,INDIRECT("'"&amp;$C129&amp;"'!$A:$A"),0))</f>
        <v>0.55357000000000001</v>
      </c>
      <c r="H129" s="17"/>
      <c r="I129" s="6" cm="1">
        <f t="array" aca="1" ref="I129" ca="1">INDIRECT("'"&amp;$C129&amp;"'!"&amp;I$2&amp;MATCH($D129,INDIRECT("'"&amp;$C129&amp;"'!$A:$A"),0))</f>
        <v>38</v>
      </c>
      <c r="J129" s="6" cm="1">
        <f t="array" aca="1" ref="J129" ca="1">INDIRECT("'"&amp;$C129&amp;"'!"&amp;J$2&amp;MATCH($D129,INDIRECT("'"&amp;$C129&amp;"'!$A:$A"),0))</f>
        <v>31</v>
      </c>
      <c r="K129" s="6" cm="1">
        <f t="array" aca="1" ref="K129" ca="1">INDIRECT("'"&amp;$C129&amp;"'!"&amp;K$2&amp;MATCH($D129,INDIRECT("'"&amp;$C129&amp;"'!$A:$A"),0))</f>
        <v>43</v>
      </c>
      <c r="L129" s="6" cm="1">
        <f t="array" aca="1" ref="L129" ca="1">INDIRECT("'"&amp;$C129&amp;"'!"&amp;L$2&amp;MATCH($D129,INDIRECT("'"&amp;$C129&amp;"'!$A:$A"),0))</f>
        <v>7</v>
      </c>
    </row>
    <row r="130" spans="2:14" x14ac:dyDescent="0.35">
      <c r="B130" s="5" t="s">
        <v>262</v>
      </c>
      <c r="C130" s="5" t="s">
        <v>222</v>
      </c>
      <c r="D130" s="7">
        <v>2</v>
      </c>
      <c r="E130" s="17" cm="1">
        <f t="array" aca="1" ref="E130" ca="1">INDIRECT("'"&amp;$C130&amp;"'!"&amp;E$2&amp;MATCH($D130,INDIRECT("'"&amp;$C130&amp;"'!$A:$A"),0))</f>
        <v>0.53061000000000003</v>
      </c>
      <c r="F130" s="17" cm="1">
        <f t="array" aca="1" ref="F130" ca="1">INDIRECT("'"&amp;$C130&amp;"'!"&amp;F$2&amp;MATCH($D130,INDIRECT("'"&amp;$C130&amp;"'!$A:$A"),0))</f>
        <v>0.68420999999999998</v>
      </c>
      <c r="G130" s="17" cm="1">
        <f t="array" aca="1" ref="G130" ca="1">INDIRECT("'"&amp;$C130&amp;"'!"&amp;G$2&amp;MATCH($D130,INDIRECT("'"&amp;$C130&amp;"'!$A:$A"),0))</f>
        <v>0.59770000000000001</v>
      </c>
      <c r="H130" s="17"/>
      <c r="I130" s="6" cm="1">
        <f t="array" aca="1" ref="I130" ca="1">INDIRECT("'"&amp;$C130&amp;"'!"&amp;I$2&amp;MATCH($D130,INDIRECT("'"&amp;$C130&amp;"'!$A:$A"),0))</f>
        <v>38</v>
      </c>
      <c r="J130" s="6" cm="1">
        <f t="array" aca="1" ref="J130" ca="1">INDIRECT("'"&amp;$C130&amp;"'!"&amp;J$2&amp;MATCH($D130,INDIRECT("'"&amp;$C130&amp;"'!$A:$A"),0))</f>
        <v>26</v>
      </c>
      <c r="K130" s="6" cm="1">
        <f t="array" aca="1" ref="K130" ca="1">INDIRECT("'"&amp;$C130&amp;"'!"&amp;K$2&amp;MATCH($D130,INDIRECT("'"&amp;$C130&amp;"'!$A:$A"),0))</f>
        <v>23</v>
      </c>
      <c r="L130" s="6" cm="1">
        <f t="array" aca="1" ref="L130" ca="1">INDIRECT("'"&amp;$C130&amp;"'!"&amp;L$2&amp;MATCH($D130,INDIRECT("'"&amp;$C130&amp;"'!$A:$A"),0))</f>
        <v>12</v>
      </c>
    </row>
    <row r="131" spans="2:14" x14ac:dyDescent="0.35">
      <c r="B131" s="5" t="s">
        <v>263</v>
      </c>
      <c r="C131" s="5" t="s">
        <v>223</v>
      </c>
      <c r="D131" s="7">
        <v>2</v>
      </c>
      <c r="E131" s="17" cm="1">
        <f t="array" aca="1" ref="E131" ca="1">INDIRECT("'"&amp;$C131&amp;"'!"&amp;E$2&amp;MATCH($D131,INDIRECT("'"&amp;$C131&amp;"'!$A:$A"),0))</f>
        <v>0.52083000000000002</v>
      </c>
      <c r="F131" s="17" cm="1">
        <f t="array" aca="1" ref="F131" ca="1">INDIRECT("'"&amp;$C131&amp;"'!"&amp;F$2&amp;MATCH($D131,INDIRECT("'"&amp;$C131&amp;"'!$A:$A"),0))</f>
        <v>0.65788999999999997</v>
      </c>
      <c r="G131" s="17" cm="1">
        <f t="array" aca="1" ref="G131" ca="1">INDIRECT("'"&amp;$C131&amp;"'!"&amp;G$2&amp;MATCH($D131,INDIRECT("'"&amp;$C131&amp;"'!$A:$A"),0))</f>
        <v>0.58140000000000003</v>
      </c>
      <c r="H131" s="17"/>
      <c r="I131" s="6" cm="1">
        <f t="array" aca="1" ref="I131" ca="1">INDIRECT("'"&amp;$C131&amp;"'!"&amp;I$2&amp;MATCH($D131,INDIRECT("'"&amp;$C131&amp;"'!$A:$A"),0))</f>
        <v>38</v>
      </c>
      <c r="J131" s="6" cm="1">
        <f t="array" aca="1" ref="J131" ca="1">INDIRECT("'"&amp;$C131&amp;"'!"&amp;J$2&amp;MATCH($D131,INDIRECT("'"&amp;$C131&amp;"'!$A:$A"),0))</f>
        <v>25</v>
      </c>
      <c r="K131" s="6" cm="1">
        <f t="array" aca="1" ref="K131" ca="1">INDIRECT("'"&amp;$C131&amp;"'!"&amp;K$2&amp;MATCH($D131,INDIRECT("'"&amp;$C131&amp;"'!$A:$A"),0))</f>
        <v>23</v>
      </c>
      <c r="L131" s="6" cm="1">
        <f t="array" aca="1" ref="L131" ca="1">INDIRECT("'"&amp;$C131&amp;"'!"&amp;L$2&amp;MATCH($D131,INDIRECT("'"&amp;$C131&amp;"'!$A:$A"),0))</f>
        <v>13</v>
      </c>
    </row>
    <row r="132" spans="2:14" x14ac:dyDescent="0.35">
      <c r="B132" s="24" t="s">
        <v>264</v>
      </c>
      <c r="C132" s="5" t="s">
        <v>224</v>
      </c>
      <c r="D132" s="7">
        <v>2</v>
      </c>
      <c r="E132" s="17" cm="1">
        <f t="array" aca="1" ref="E132" ca="1">INDIRECT("'"&amp;$C132&amp;"'!"&amp;E$2&amp;MATCH($D132,INDIRECT("'"&amp;$C132&amp;"'!$A:$A"),0))</f>
        <v>0.52173999999999998</v>
      </c>
      <c r="F132" s="17" cm="1">
        <f t="array" aca="1" ref="F132" ca="1">INDIRECT("'"&amp;$C132&amp;"'!"&amp;F$2&amp;MATCH($D132,INDIRECT("'"&amp;$C132&amp;"'!$A:$A"),0))</f>
        <v>0.63158000000000003</v>
      </c>
      <c r="G132" s="17" cm="1">
        <f t="array" aca="1" ref="G132" ca="1">INDIRECT("'"&amp;$C132&amp;"'!"&amp;G$2&amp;MATCH($D132,INDIRECT("'"&amp;$C132&amp;"'!$A:$A"),0))</f>
        <v>0.57142999999999999</v>
      </c>
      <c r="H132" s="17"/>
      <c r="I132" s="6" cm="1">
        <f t="array" aca="1" ref="I132" ca="1">INDIRECT("'"&amp;$C132&amp;"'!"&amp;I$2&amp;MATCH($D132,INDIRECT("'"&amp;$C132&amp;"'!$A:$A"),0))</f>
        <v>38</v>
      </c>
      <c r="J132" s="6" cm="1">
        <f t="array" aca="1" ref="J132" ca="1">INDIRECT("'"&amp;$C132&amp;"'!"&amp;J$2&amp;MATCH($D132,INDIRECT("'"&amp;$C132&amp;"'!$A:$A"),0))</f>
        <v>24</v>
      </c>
      <c r="K132" s="6" cm="1">
        <f t="array" aca="1" ref="K132" ca="1">INDIRECT("'"&amp;$C132&amp;"'!"&amp;K$2&amp;MATCH($D132,INDIRECT("'"&amp;$C132&amp;"'!$A:$A"),0))</f>
        <v>22</v>
      </c>
      <c r="L132" s="6" cm="1">
        <f t="array" aca="1" ref="L132" ca="1">INDIRECT("'"&amp;$C132&amp;"'!"&amp;L$2&amp;MATCH($D132,INDIRECT("'"&amp;$C132&amp;"'!$A:$A"),0))</f>
        <v>14</v>
      </c>
      <c r="M132" s="7"/>
      <c r="N132" s="9"/>
    </row>
    <row r="133" spans="2:14" x14ac:dyDescent="0.35">
      <c r="B133" s="5" t="s">
        <v>265</v>
      </c>
      <c r="C133" s="5" t="s">
        <v>233</v>
      </c>
      <c r="D133" s="7">
        <v>2</v>
      </c>
      <c r="E133" s="17" cm="1">
        <f t="array" aca="1" ref="E133" ca="1">INDIRECT("'"&amp;$C133&amp;"'!"&amp;E$2&amp;MATCH($D133,INDIRECT("'"&amp;$C133&amp;"'!$A:$A"),0))</f>
        <v>0.49091000000000001</v>
      </c>
      <c r="F133" s="17" cm="1">
        <f t="array" aca="1" ref="F133" ca="1">INDIRECT("'"&amp;$C133&amp;"'!"&amp;F$2&amp;MATCH($D133,INDIRECT("'"&amp;$C133&amp;"'!$A:$A"),0))</f>
        <v>0.71052999999999999</v>
      </c>
      <c r="G133" s="17" cm="1">
        <f t="array" aca="1" ref="G133" ca="1">INDIRECT("'"&amp;$C133&amp;"'!"&amp;G$2&amp;MATCH($D133,INDIRECT("'"&amp;$C133&amp;"'!$A:$A"),0))</f>
        <v>0.58065</v>
      </c>
      <c r="H133" s="17"/>
      <c r="I133" s="6" cm="1">
        <f t="array" aca="1" ref="I133" ca="1">INDIRECT("'"&amp;$C133&amp;"'!"&amp;I$2&amp;MATCH($D133,INDIRECT("'"&amp;$C133&amp;"'!$A:$A"),0))</f>
        <v>38</v>
      </c>
      <c r="J133" s="6" cm="1">
        <f t="array" aca="1" ref="J133" ca="1">INDIRECT("'"&amp;$C133&amp;"'!"&amp;J$2&amp;MATCH($D133,INDIRECT("'"&amp;$C133&amp;"'!$A:$A"),0))</f>
        <v>27</v>
      </c>
      <c r="K133" s="6" cm="1">
        <f t="array" aca="1" ref="K133" ca="1">INDIRECT("'"&amp;$C133&amp;"'!"&amp;K$2&amp;MATCH($D133,INDIRECT("'"&amp;$C133&amp;"'!$A:$A"),0))</f>
        <v>28</v>
      </c>
      <c r="L133" s="6" cm="1">
        <f t="array" aca="1" ref="L133" ca="1">INDIRECT("'"&amp;$C133&amp;"'!"&amp;L$2&amp;MATCH($D133,INDIRECT("'"&amp;$C133&amp;"'!$A:$A"),0))</f>
        <v>11</v>
      </c>
      <c r="M133" s="7"/>
      <c r="N133" s="9"/>
    </row>
    <row r="134" spans="2:14" x14ac:dyDescent="0.35">
      <c r="B134" s="5" t="s">
        <v>266</v>
      </c>
      <c r="C134" s="5" t="s">
        <v>232</v>
      </c>
      <c r="D134" s="7">
        <v>2</v>
      </c>
      <c r="E134" s="17" cm="1">
        <f t="array" aca="1" ref="E134" ca="1">INDIRECT("'"&amp;$C134&amp;"'!"&amp;E$2&amp;MATCH($D134,INDIRECT("'"&amp;$C134&amp;"'!$A:$A"),0))</f>
        <v>0.41095999999999999</v>
      </c>
      <c r="F134" s="17" cm="1">
        <f t="array" aca="1" ref="F134" ca="1">INDIRECT("'"&amp;$C134&amp;"'!"&amp;F$2&amp;MATCH($D134,INDIRECT("'"&amp;$C134&amp;"'!$A:$A"),0))</f>
        <v>0.78947000000000001</v>
      </c>
      <c r="G134" s="17" cm="1">
        <f t="array" aca="1" ref="G134" ca="1">INDIRECT("'"&amp;$C134&amp;"'!"&amp;G$2&amp;MATCH($D134,INDIRECT("'"&amp;$C134&amp;"'!$A:$A"),0))</f>
        <v>0.54054000000000002</v>
      </c>
      <c r="H134" s="17"/>
      <c r="I134" s="6" cm="1">
        <f t="array" aca="1" ref="I134" ca="1">INDIRECT("'"&amp;$C134&amp;"'!"&amp;I$2&amp;MATCH($D134,INDIRECT("'"&amp;$C134&amp;"'!$A:$A"),0))</f>
        <v>38</v>
      </c>
      <c r="J134" s="6" cm="1">
        <f t="array" aca="1" ref="J134" ca="1">INDIRECT("'"&amp;$C134&amp;"'!"&amp;J$2&amp;MATCH($D134,INDIRECT("'"&amp;$C134&amp;"'!$A:$A"),0))</f>
        <v>30</v>
      </c>
      <c r="K134" s="6" cm="1">
        <f t="array" aca="1" ref="K134" ca="1">INDIRECT("'"&amp;$C134&amp;"'!"&amp;K$2&amp;MATCH($D134,INDIRECT("'"&amp;$C134&amp;"'!$A:$A"),0))</f>
        <v>43</v>
      </c>
      <c r="L134" s="6" cm="1">
        <f t="array" aca="1" ref="L134" ca="1">INDIRECT("'"&amp;$C134&amp;"'!"&amp;L$2&amp;MATCH($D134,INDIRECT("'"&amp;$C134&amp;"'!$A:$A"),0))</f>
        <v>8</v>
      </c>
      <c r="M134" s="7"/>
      <c r="N134" s="9"/>
    </row>
    <row r="135" spans="2:14" x14ac:dyDescent="0.35">
      <c r="B135" s="25" t="s">
        <v>267</v>
      </c>
      <c r="C135" s="5" t="s">
        <v>234</v>
      </c>
      <c r="D135" s="7">
        <v>2</v>
      </c>
      <c r="E135" s="17" cm="1">
        <f t="array" aca="1" ref="E135" ca="1">INDIRECT("'"&amp;$C135&amp;"'!"&amp;E$2&amp;MATCH($D135,INDIRECT("'"&amp;$C135&amp;"'!$A:$A"),0))</f>
        <v>0.54386000000000001</v>
      </c>
      <c r="F135" s="17" cm="1">
        <f t="array" aca="1" ref="F135" ca="1">INDIRECT("'"&amp;$C135&amp;"'!"&amp;F$2&amp;MATCH($D135,INDIRECT("'"&amp;$C135&amp;"'!$A:$A"),0))</f>
        <v>0.81579000000000002</v>
      </c>
      <c r="G135" s="17" cm="1">
        <f t="array" aca="1" ref="G135" ca="1">INDIRECT("'"&amp;$C135&amp;"'!"&amp;G$2&amp;MATCH($D135,INDIRECT("'"&amp;$C135&amp;"'!$A:$A"),0))</f>
        <v>0.65263000000000004</v>
      </c>
      <c r="H135" s="17"/>
      <c r="I135" s="6" cm="1">
        <f t="array" aca="1" ref="I135" ca="1">INDIRECT("'"&amp;$C135&amp;"'!"&amp;I$2&amp;MATCH($D135,INDIRECT("'"&amp;$C135&amp;"'!$A:$A"),0))</f>
        <v>38</v>
      </c>
      <c r="J135" s="6" cm="1">
        <f t="array" aca="1" ref="J135" ca="1">INDIRECT("'"&amp;$C135&amp;"'!"&amp;J$2&amp;MATCH($D135,INDIRECT("'"&amp;$C135&amp;"'!$A:$A"),0))</f>
        <v>31</v>
      </c>
      <c r="K135" s="6" cm="1">
        <f t="array" aca="1" ref="K135" ca="1">INDIRECT("'"&amp;$C135&amp;"'!"&amp;K$2&amp;MATCH($D135,INDIRECT("'"&amp;$C135&amp;"'!$A:$A"),0))</f>
        <v>26</v>
      </c>
      <c r="L135" s="6" cm="1">
        <f t="array" aca="1" ref="L135" ca="1">INDIRECT("'"&amp;$C135&amp;"'!"&amp;L$2&amp;MATCH($D135,INDIRECT("'"&amp;$C135&amp;"'!$A:$A"),0))</f>
        <v>7</v>
      </c>
      <c r="M135" s="7"/>
      <c r="N135" s="9"/>
    </row>
    <row r="136" spans="2:14" x14ac:dyDescent="0.35">
      <c r="B136" s="5" t="s">
        <v>270</v>
      </c>
      <c r="C136" s="5" t="s">
        <v>268</v>
      </c>
      <c r="D136" s="7">
        <v>2</v>
      </c>
      <c r="E136" s="17" cm="1">
        <f t="array" aca="1" ref="E136" ca="1">INDIRECT("'"&amp;$C136&amp;"'!"&amp;E$2&amp;MATCH($D136,INDIRECT("'"&amp;$C136&amp;"'!$A:$A"),0))</f>
        <v>0.29411999999999999</v>
      </c>
      <c r="F136" s="17" cm="1">
        <f t="array" aca="1" ref="F136" ca="1">INDIRECT("'"&amp;$C136&amp;"'!"&amp;F$2&amp;MATCH($D136,INDIRECT("'"&amp;$C136&amp;"'!$A:$A"),0))</f>
        <v>0.78947000000000001</v>
      </c>
      <c r="G136" s="17" cm="1">
        <f t="array" aca="1" ref="G136" ca="1">INDIRECT("'"&amp;$C136&amp;"'!"&amp;G$2&amp;MATCH($D136,INDIRECT("'"&amp;$C136&amp;"'!$A:$A"),0))</f>
        <v>0.42857000000000001</v>
      </c>
      <c r="H136" s="17"/>
      <c r="I136" s="6" cm="1">
        <f t="array" aca="1" ref="I136" ca="1">INDIRECT("'"&amp;$C136&amp;"'!"&amp;I$2&amp;MATCH($D136,INDIRECT("'"&amp;$C136&amp;"'!$A:$A"),0))</f>
        <v>38</v>
      </c>
      <c r="J136" s="6" cm="1">
        <f t="array" aca="1" ref="J136" ca="1">INDIRECT("'"&amp;$C136&amp;"'!"&amp;J$2&amp;MATCH($D136,INDIRECT("'"&amp;$C136&amp;"'!$A:$A"),0))</f>
        <v>30</v>
      </c>
      <c r="K136" s="6" cm="1">
        <f t="array" aca="1" ref="K136" ca="1">INDIRECT("'"&amp;$C136&amp;"'!"&amp;K$2&amp;MATCH($D136,INDIRECT("'"&amp;$C136&amp;"'!$A:$A"),0))</f>
        <v>72</v>
      </c>
      <c r="L136" s="6" cm="1">
        <f t="array" aca="1" ref="L136" ca="1">INDIRECT("'"&amp;$C136&amp;"'!"&amp;L$2&amp;MATCH($D136,INDIRECT("'"&amp;$C136&amp;"'!$A:$A"),0))</f>
        <v>8</v>
      </c>
      <c r="M136" s="7"/>
      <c r="N136" s="9"/>
    </row>
    <row r="137" spans="2:14" x14ac:dyDescent="0.35">
      <c r="B137" s="25" t="s">
        <v>271</v>
      </c>
      <c r="C137" s="5" t="s">
        <v>269</v>
      </c>
      <c r="D137" s="7">
        <v>2</v>
      </c>
      <c r="E137" s="17" cm="1">
        <f t="array" aca="1" ref="E137" ca="1">INDIRECT("'"&amp;$C137&amp;"'!"&amp;E$2&amp;MATCH($D137,INDIRECT("'"&amp;$C137&amp;"'!$A:$A"),0))</f>
        <v>0.47143000000000002</v>
      </c>
      <c r="F137" s="17" cm="1">
        <f t="array" aca="1" ref="F137" ca="1">INDIRECT("'"&amp;$C137&amp;"'!"&amp;F$2&amp;MATCH($D137,INDIRECT("'"&amp;$C137&amp;"'!$A:$A"),0))</f>
        <v>0.86841999999999997</v>
      </c>
      <c r="G137" s="17" cm="1">
        <f t="array" aca="1" ref="G137" ca="1">INDIRECT("'"&amp;$C137&amp;"'!"&amp;G$2&amp;MATCH($D137,INDIRECT("'"&amp;$C137&amp;"'!$A:$A"),0))</f>
        <v>0.61111000000000004</v>
      </c>
      <c r="H137" s="17"/>
      <c r="I137" s="6" cm="1">
        <f t="array" aca="1" ref="I137" ca="1">INDIRECT("'"&amp;$C137&amp;"'!"&amp;I$2&amp;MATCH($D137,INDIRECT("'"&amp;$C137&amp;"'!$A:$A"),0))</f>
        <v>38</v>
      </c>
      <c r="J137" s="6" cm="1">
        <f t="array" aca="1" ref="J137" ca="1">INDIRECT("'"&amp;$C137&amp;"'!"&amp;J$2&amp;MATCH($D137,INDIRECT("'"&amp;$C137&amp;"'!$A:$A"),0))</f>
        <v>33</v>
      </c>
      <c r="K137" s="6" cm="1">
        <f t="array" aca="1" ref="K137" ca="1">INDIRECT("'"&amp;$C137&amp;"'!"&amp;K$2&amp;MATCH($D137,INDIRECT("'"&amp;$C137&amp;"'!$A:$A"),0))</f>
        <v>37</v>
      </c>
      <c r="L137" s="6" cm="1">
        <f t="array" aca="1" ref="L137" ca="1">INDIRECT("'"&amp;$C137&amp;"'!"&amp;L$2&amp;MATCH($D137,INDIRECT("'"&amp;$C137&amp;"'!$A:$A"),0))</f>
        <v>5</v>
      </c>
      <c r="M137" s="7"/>
      <c r="N137" s="9"/>
    </row>
    <row r="138" spans="2:14" x14ac:dyDescent="0.35">
      <c r="D138" s="7"/>
      <c r="E138" s="17"/>
      <c r="F138" s="17"/>
      <c r="G138" s="17"/>
      <c r="H138" s="17"/>
      <c r="M138" s="7"/>
      <c r="N138" s="9"/>
    </row>
    <row r="140" spans="2:14" x14ac:dyDescent="0.35">
      <c r="B140" s="24" t="s">
        <v>246</v>
      </c>
      <c r="C140" s="5" t="s">
        <v>249</v>
      </c>
      <c r="D140" s="7">
        <v>3</v>
      </c>
      <c r="E140" s="17" cm="1">
        <f t="array" aca="1" ref="E140" ca="1">INDIRECT("'"&amp;$C140&amp;"'!"&amp;E$2&amp;MATCH($D140,INDIRECT("'"&amp;$C140&amp;"'!$A:$A"),0))</f>
        <v>0.61904999999999999</v>
      </c>
      <c r="F140" s="17" cm="1">
        <f t="array" aca="1" ref="F140" ca="1">INDIRECT("'"&amp;$C140&amp;"'!"&amp;F$2&amp;MATCH($D140,INDIRECT("'"&amp;$C140&amp;"'!$A:$A"),0))</f>
        <v>1</v>
      </c>
      <c r="G140" s="17" cm="1">
        <f t="array" aca="1" ref="G140" ca="1">INDIRECT("'"&amp;$C140&amp;"'!"&amp;G$2&amp;MATCH($D140,INDIRECT("'"&amp;$C140&amp;"'!$A:$A"),0))</f>
        <v>0.76471</v>
      </c>
      <c r="H140" s="17"/>
      <c r="I140" s="6" cm="1">
        <f t="array" aca="1" ref="I140" ca="1">INDIRECT("'"&amp;$C140&amp;"'!"&amp;I$2&amp;MATCH($D140,INDIRECT("'"&amp;$C140&amp;"'!$A:$A"),0))</f>
        <v>13</v>
      </c>
      <c r="J140" s="6" cm="1">
        <f t="array" aca="1" ref="J140" ca="1">INDIRECT("'"&amp;$C140&amp;"'!"&amp;J$2&amp;MATCH($D140,INDIRECT("'"&amp;$C140&amp;"'!$A:$A"),0))</f>
        <v>13</v>
      </c>
      <c r="K140" s="6" cm="1">
        <f t="array" aca="1" ref="K140" ca="1">INDIRECT("'"&amp;$C140&amp;"'!"&amp;K$2&amp;MATCH($D140,INDIRECT("'"&amp;$C140&amp;"'!$A:$A"),0))</f>
        <v>8</v>
      </c>
      <c r="L140" s="6" cm="1">
        <f t="array" aca="1" ref="L140" ca="1">INDIRECT("'"&amp;$C140&amp;"'!"&amp;L$2&amp;MATCH($D140,INDIRECT("'"&amp;$C140&amp;"'!$A:$A"),0))</f>
        <v>0</v>
      </c>
    </row>
    <row r="141" spans="2:14" x14ac:dyDescent="0.35">
      <c r="B141" s="25" t="s">
        <v>251</v>
      </c>
      <c r="C141" s="5" t="s">
        <v>250</v>
      </c>
      <c r="D141" s="7">
        <v>3</v>
      </c>
      <c r="E141" s="17" cm="1">
        <f t="array" aca="1" ref="E141" ca="1">INDIRECT("'"&amp;$C141&amp;"'!"&amp;E$2&amp;MATCH($D141,INDIRECT("'"&amp;$C141&amp;"'!$A:$A"),0))</f>
        <v>0.66666999999999998</v>
      </c>
      <c r="F141" s="17" cm="1">
        <f t="array" aca="1" ref="F141" ca="1">INDIRECT("'"&amp;$C141&amp;"'!"&amp;F$2&amp;MATCH($D141,INDIRECT("'"&amp;$C141&amp;"'!$A:$A"),0))</f>
        <v>0.92308000000000001</v>
      </c>
      <c r="G141" s="17" cm="1">
        <f t="array" aca="1" ref="G141" ca="1">INDIRECT("'"&amp;$C141&amp;"'!"&amp;G$2&amp;MATCH($D141,INDIRECT("'"&amp;$C141&amp;"'!$A:$A"),0))</f>
        <v>0.77419000000000004</v>
      </c>
      <c r="H141" s="17"/>
      <c r="I141" s="6" cm="1">
        <f t="array" aca="1" ref="I141" ca="1">INDIRECT("'"&amp;$C141&amp;"'!"&amp;I$2&amp;MATCH($D141,INDIRECT("'"&amp;$C141&amp;"'!$A:$A"),0))</f>
        <v>13</v>
      </c>
      <c r="J141" s="6" cm="1">
        <f t="array" aca="1" ref="J141" ca="1">INDIRECT("'"&amp;$C141&amp;"'!"&amp;J$2&amp;MATCH($D141,INDIRECT("'"&amp;$C141&amp;"'!$A:$A"),0))</f>
        <v>12</v>
      </c>
      <c r="K141" s="6" cm="1">
        <f t="array" aca="1" ref="K141" ca="1">INDIRECT("'"&amp;$C141&amp;"'!"&amp;K$2&amp;MATCH($D141,INDIRECT("'"&amp;$C141&amp;"'!$A:$A"),0))</f>
        <v>6</v>
      </c>
      <c r="L141" s="6" cm="1">
        <f t="array" aca="1" ref="L141" ca="1">INDIRECT("'"&amp;$C141&amp;"'!"&amp;L$2&amp;MATCH($D141,INDIRECT("'"&amp;$C141&amp;"'!$A:$A"),0))</f>
        <v>1</v>
      </c>
    </row>
    <row r="142" spans="2:14" x14ac:dyDescent="0.35">
      <c r="B142" s="5" t="s">
        <v>252</v>
      </c>
      <c r="C142" s="5" t="s">
        <v>221</v>
      </c>
      <c r="D142" s="7">
        <v>3</v>
      </c>
      <c r="E142" s="17" cm="1">
        <f t="array" aca="1" ref="E142" ca="1">INDIRECT("'"&amp;$C142&amp;"'!"&amp;E$2&amp;MATCH($D142,INDIRECT("'"&amp;$C142&amp;"'!$A:$A"),0))</f>
        <v>0.16883000000000001</v>
      </c>
      <c r="F142" s="17" cm="1">
        <f t="array" aca="1" ref="F142" ca="1">INDIRECT("'"&amp;$C142&amp;"'!"&amp;F$2&amp;MATCH($D142,INDIRECT("'"&amp;$C142&amp;"'!$A:$A"),0))</f>
        <v>1</v>
      </c>
      <c r="G142" s="17" cm="1">
        <f t="array" aca="1" ref="G142" ca="1">INDIRECT("'"&amp;$C142&amp;"'!"&amp;G$2&amp;MATCH($D142,INDIRECT("'"&amp;$C142&amp;"'!$A:$A"),0))</f>
        <v>0.28888999999999998</v>
      </c>
      <c r="H142" s="17"/>
      <c r="I142" s="6" cm="1">
        <f t="array" aca="1" ref="I142" ca="1">INDIRECT("'"&amp;$C142&amp;"'!"&amp;I$2&amp;MATCH($D142,INDIRECT("'"&amp;$C142&amp;"'!$A:$A"),0))</f>
        <v>13</v>
      </c>
      <c r="J142" s="6" cm="1">
        <f t="array" aca="1" ref="J142" ca="1">INDIRECT("'"&amp;$C142&amp;"'!"&amp;J$2&amp;MATCH($D142,INDIRECT("'"&amp;$C142&amp;"'!$A:$A"),0))</f>
        <v>13</v>
      </c>
      <c r="K142" s="6" cm="1">
        <f t="array" aca="1" ref="K142" ca="1">INDIRECT("'"&amp;$C142&amp;"'!"&amp;K$2&amp;MATCH($D142,INDIRECT("'"&amp;$C142&amp;"'!$A:$A"),0))</f>
        <v>64</v>
      </c>
      <c r="L142" s="6" cm="1">
        <f t="array" aca="1" ref="L142" ca="1">INDIRECT("'"&amp;$C142&amp;"'!"&amp;L$2&amp;MATCH($D142,INDIRECT("'"&amp;$C142&amp;"'!$A:$A"),0))</f>
        <v>0</v>
      </c>
    </row>
    <row r="143" spans="2:14" x14ac:dyDescent="0.35">
      <c r="B143" s="5" t="s">
        <v>254</v>
      </c>
      <c r="C143" s="5" t="s">
        <v>220</v>
      </c>
      <c r="D143" s="7">
        <v>3</v>
      </c>
      <c r="E143" s="17" cm="1">
        <f t="array" aca="1" ref="E143" ca="1">INDIRECT("'"&amp;$C143&amp;"'!"&amp;E$2&amp;MATCH($D143,INDIRECT("'"&amp;$C143&amp;"'!$A:$A"),0))</f>
        <v>0.125</v>
      </c>
      <c r="F143" s="17" cm="1">
        <f t="array" aca="1" ref="F143" ca="1">INDIRECT("'"&amp;$C143&amp;"'!"&amp;F$2&amp;MATCH($D143,INDIRECT("'"&amp;$C143&amp;"'!$A:$A"),0))</f>
        <v>1</v>
      </c>
      <c r="G143" s="17" cm="1">
        <f t="array" aca="1" ref="G143" ca="1">INDIRECT("'"&amp;$C143&amp;"'!"&amp;G$2&amp;MATCH($D143,INDIRECT("'"&amp;$C143&amp;"'!$A:$A"),0))</f>
        <v>0.22222</v>
      </c>
      <c r="H143" s="17"/>
      <c r="I143" s="6" cm="1">
        <f t="array" aca="1" ref="I143" ca="1">INDIRECT("'"&amp;$C143&amp;"'!"&amp;I$2&amp;MATCH($D143,INDIRECT("'"&amp;$C143&amp;"'!$A:$A"),0))</f>
        <v>13</v>
      </c>
      <c r="J143" s="6" cm="1">
        <f t="array" aca="1" ref="J143" ca="1">INDIRECT("'"&amp;$C143&amp;"'!"&amp;J$2&amp;MATCH($D143,INDIRECT("'"&amp;$C143&amp;"'!$A:$A"),0))</f>
        <v>13</v>
      </c>
      <c r="K143" s="6" cm="1">
        <f t="array" aca="1" ref="K143" ca="1">INDIRECT("'"&amp;$C143&amp;"'!"&amp;K$2&amp;MATCH($D143,INDIRECT("'"&amp;$C143&amp;"'!$A:$A"),0))</f>
        <v>91</v>
      </c>
      <c r="L143" s="6" cm="1">
        <f t="array" aca="1" ref="L143" ca="1">INDIRECT("'"&amp;$C143&amp;"'!"&amp;L$2&amp;MATCH($D143,INDIRECT("'"&amp;$C143&amp;"'!$A:$A"),0))</f>
        <v>0</v>
      </c>
    </row>
    <row r="144" spans="2:14" x14ac:dyDescent="0.35">
      <c r="B144" s="5" t="s">
        <v>253</v>
      </c>
      <c r="C144" s="5" t="s">
        <v>219</v>
      </c>
      <c r="D144" s="7">
        <v>3</v>
      </c>
      <c r="E144" s="17" cm="1">
        <f t="array" aca="1" ref="E144" ca="1">INDIRECT("'"&amp;$C144&amp;"'!"&amp;E$2&amp;MATCH($D144,INDIRECT("'"&amp;$C144&amp;"'!$A:$A"),0))</f>
        <v>0.16250000000000001</v>
      </c>
      <c r="F144" s="17" cm="1">
        <f t="array" aca="1" ref="F144" ca="1">INDIRECT("'"&amp;$C144&amp;"'!"&amp;F$2&amp;MATCH($D144,INDIRECT("'"&amp;$C144&amp;"'!$A:$A"),0))</f>
        <v>1</v>
      </c>
      <c r="G144" s="17" cm="1">
        <f t="array" aca="1" ref="G144" ca="1">INDIRECT("'"&amp;$C144&amp;"'!"&amp;G$2&amp;MATCH($D144,INDIRECT("'"&amp;$C144&amp;"'!$A:$A"),0))</f>
        <v>0.27956999999999999</v>
      </c>
      <c r="H144" s="17"/>
      <c r="I144" s="6" cm="1">
        <f t="array" aca="1" ref="I144" ca="1">INDIRECT("'"&amp;$C144&amp;"'!"&amp;I$2&amp;MATCH($D144,INDIRECT("'"&amp;$C144&amp;"'!$A:$A"),0))</f>
        <v>13</v>
      </c>
      <c r="J144" s="6" cm="1">
        <f t="array" aca="1" ref="J144" ca="1">INDIRECT("'"&amp;$C144&amp;"'!"&amp;J$2&amp;MATCH($D144,INDIRECT("'"&amp;$C144&amp;"'!$A:$A"),0))</f>
        <v>13</v>
      </c>
      <c r="K144" s="6" cm="1">
        <f t="array" aca="1" ref="K144" ca="1">INDIRECT("'"&amp;$C144&amp;"'!"&amp;K$2&amp;MATCH($D144,INDIRECT("'"&amp;$C144&amp;"'!$A:$A"),0))</f>
        <v>67</v>
      </c>
      <c r="L144" s="6" cm="1">
        <f t="array" aca="1" ref="L144" ca="1">INDIRECT("'"&amp;$C144&amp;"'!"&amp;L$2&amp;MATCH($D144,INDIRECT("'"&amp;$C144&amp;"'!$A:$A"),0))</f>
        <v>0</v>
      </c>
    </row>
    <row r="145" spans="2:14" x14ac:dyDescent="0.35">
      <c r="B145" s="24" t="s">
        <v>259</v>
      </c>
      <c r="C145" s="5" t="s">
        <v>228</v>
      </c>
      <c r="D145" s="7">
        <v>3</v>
      </c>
      <c r="E145" s="17" cm="1">
        <f t="array" aca="1" ref="E145" ca="1">INDIRECT("'"&amp;$C145&amp;"'!"&amp;E$2&amp;MATCH($D145,INDIRECT("'"&amp;$C145&amp;"'!$A:$A"),0))</f>
        <v>0.31707000000000002</v>
      </c>
      <c r="F145" s="17" cm="1">
        <f t="array" aca="1" ref="F145" ca="1">INDIRECT("'"&amp;$C145&amp;"'!"&amp;F$2&amp;MATCH($D145,INDIRECT("'"&amp;$C145&amp;"'!$A:$A"),0))</f>
        <v>1</v>
      </c>
      <c r="G145" s="17" cm="1">
        <f t="array" aca="1" ref="G145" ca="1">INDIRECT("'"&amp;$C145&amp;"'!"&amp;G$2&amp;MATCH($D145,INDIRECT("'"&amp;$C145&amp;"'!$A:$A"),0))</f>
        <v>0.48148000000000002</v>
      </c>
      <c r="H145" s="17"/>
      <c r="I145" s="6" cm="1">
        <f t="array" aca="1" ref="I145" ca="1">INDIRECT("'"&amp;$C145&amp;"'!"&amp;I$2&amp;MATCH($D145,INDIRECT("'"&amp;$C145&amp;"'!$A:$A"),0))</f>
        <v>13</v>
      </c>
      <c r="J145" s="6" cm="1">
        <f t="array" aca="1" ref="J145" ca="1">INDIRECT("'"&amp;$C145&amp;"'!"&amp;J$2&amp;MATCH($D145,INDIRECT("'"&amp;$C145&amp;"'!$A:$A"),0))</f>
        <v>13</v>
      </c>
      <c r="K145" s="6" cm="1">
        <f t="array" aca="1" ref="K145" ca="1">INDIRECT("'"&amp;$C145&amp;"'!"&amp;K$2&amp;MATCH($D145,INDIRECT("'"&amp;$C145&amp;"'!$A:$A"),0))</f>
        <v>28</v>
      </c>
      <c r="L145" s="6" cm="1">
        <f t="array" aca="1" ref="L145" ca="1">INDIRECT("'"&amp;$C145&amp;"'!"&amp;L$2&amp;MATCH($D145,INDIRECT("'"&amp;$C145&amp;"'!$A:$A"),0))</f>
        <v>0</v>
      </c>
    </row>
    <row r="146" spans="2:14" x14ac:dyDescent="0.35">
      <c r="B146" s="5" t="s">
        <v>255</v>
      </c>
      <c r="C146" s="5" t="s">
        <v>218</v>
      </c>
      <c r="D146" s="7">
        <v>3</v>
      </c>
      <c r="E146" s="17" cm="1">
        <f t="array" aca="1" ref="E146" ca="1">INDIRECT("'"&amp;$C146&amp;"'!"&amp;E$2&amp;MATCH($D146,INDIRECT("'"&amp;$C146&amp;"'!$A:$A"),0))</f>
        <v>0.14607000000000001</v>
      </c>
      <c r="F146" s="17" cm="1">
        <f t="array" aca="1" ref="F146" ca="1">INDIRECT("'"&amp;$C146&amp;"'!"&amp;F$2&amp;MATCH($D146,INDIRECT("'"&amp;$C146&amp;"'!$A:$A"),0))</f>
        <v>1</v>
      </c>
      <c r="G146" s="17" cm="1">
        <f t="array" aca="1" ref="G146" ca="1">INDIRECT("'"&amp;$C146&amp;"'!"&amp;G$2&amp;MATCH($D146,INDIRECT("'"&amp;$C146&amp;"'!$A:$A"),0))</f>
        <v>0.25490000000000002</v>
      </c>
      <c r="H146" s="17"/>
      <c r="I146" s="6" cm="1">
        <f t="array" aca="1" ref="I146" ca="1">INDIRECT("'"&amp;$C146&amp;"'!"&amp;I$2&amp;MATCH($D146,INDIRECT("'"&amp;$C146&amp;"'!$A:$A"),0))</f>
        <v>13</v>
      </c>
      <c r="J146" s="6" cm="1">
        <f t="array" aca="1" ref="J146" ca="1">INDIRECT("'"&amp;$C146&amp;"'!"&amp;J$2&amp;MATCH($D146,INDIRECT("'"&amp;$C146&amp;"'!$A:$A"),0))</f>
        <v>13</v>
      </c>
      <c r="K146" s="6" cm="1">
        <f t="array" aca="1" ref="K146" ca="1">INDIRECT("'"&amp;$C146&amp;"'!"&amp;K$2&amp;MATCH($D146,INDIRECT("'"&amp;$C146&amp;"'!$A:$A"),0))</f>
        <v>76</v>
      </c>
      <c r="L146" s="6" cm="1">
        <f t="array" aca="1" ref="L146" ca="1">INDIRECT("'"&amp;$C146&amp;"'!"&amp;L$2&amp;MATCH($D146,INDIRECT("'"&amp;$C146&amp;"'!$A:$A"),0))</f>
        <v>0</v>
      </c>
    </row>
    <row r="147" spans="2:14" x14ac:dyDescent="0.35">
      <c r="B147" s="5" t="s">
        <v>256</v>
      </c>
      <c r="C147" s="5" t="s">
        <v>217</v>
      </c>
      <c r="D147" s="7">
        <v>3</v>
      </c>
      <c r="E147" s="17" cm="1">
        <f t="array" aca="1" ref="E147" ca="1">INDIRECT("'"&amp;$C147&amp;"'!"&amp;E$2&amp;MATCH($D147,INDIRECT("'"&amp;$C147&amp;"'!$A:$A"),0))</f>
        <v>0.15662999999999999</v>
      </c>
      <c r="F147" s="17" cm="1">
        <f t="array" aca="1" ref="F147" ca="1">INDIRECT("'"&amp;$C147&amp;"'!"&amp;F$2&amp;MATCH($D147,INDIRECT("'"&amp;$C147&amp;"'!$A:$A"),0))</f>
        <v>1</v>
      </c>
      <c r="G147" s="17" cm="1">
        <f t="array" aca="1" ref="G147" ca="1">INDIRECT("'"&amp;$C147&amp;"'!"&amp;G$2&amp;MATCH($D147,INDIRECT("'"&amp;$C147&amp;"'!$A:$A"),0))</f>
        <v>0.27083000000000002</v>
      </c>
      <c r="H147" s="17"/>
      <c r="I147" s="6" cm="1">
        <f t="array" aca="1" ref="I147" ca="1">INDIRECT("'"&amp;$C147&amp;"'!"&amp;I$2&amp;MATCH($D147,INDIRECT("'"&amp;$C147&amp;"'!$A:$A"),0))</f>
        <v>13</v>
      </c>
      <c r="J147" s="6" cm="1">
        <f t="array" aca="1" ref="J147" ca="1">INDIRECT("'"&amp;$C147&amp;"'!"&amp;J$2&amp;MATCH($D147,INDIRECT("'"&amp;$C147&amp;"'!$A:$A"),0))</f>
        <v>13</v>
      </c>
      <c r="K147" s="6" cm="1">
        <f t="array" aca="1" ref="K147" ca="1">INDIRECT("'"&amp;$C147&amp;"'!"&amp;K$2&amp;MATCH($D147,INDIRECT("'"&amp;$C147&amp;"'!$A:$A"),0))</f>
        <v>70</v>
      </c>
      <c r="L147" s="6" cm="1">
        <f t="array" aca="1" ref="L147" ca="1">INDIRECT("'"&amp;$C147&amp;"'!"&amp;L$2&amp;MATCH($D147,INDIRECT("'"&amp;$C147&amp;"'!$A:$A"),0))</f>
        <v>0</v>
      </c>
    </row>
    <row r="148" spans="2:14" x14ac:dyDescent="0.35">
      <c r="B148" s="5" t="s">
        <v>257</v>
      </c>
      <c r="C148" s="5" t="s">
        <v>216</v>
      </c>
      <c r="D148" s="7">
        <v>3</v>
      </c>
      <c r="E148" s="17" cm="1">
        <f t="array" aca="1" ref="E148" ca="1">INDIRECT("'"&amp;$C148&amp;"'!"&amp;E$2&amp;MATCH($D148,INDIRECT("'"&amp;$C148&amp;"'!$A:$A"),0))</f>
        <v>0.15115999999999999</v>
      </c>
      <c r="F148" s="17" cm="1">
        <f t="array" aca="1" ref="F148" ca="1">INDIRECT("'"&amp;$C148&amp;"'!"&amp;F$2&amp;MATCH($D148,INDIRECT("'"&amp;$C148&amp;"'!$A:$A"),0))</f>
        <v>1</v>
      </c>
      <c r="G148" s="17" cm="1">
        <f t="array" aca="1" ref="G148" ca="1">INDIRECT("'"&amp;$C148&amp;"'!"&amp;G$2&amp;MATCH($D148,INDIRECT("'"&amp;$C148&amp;"'!$A:$A"),0))</f>
        <v>0.26262999999999997</v>
      </c>
      <c r="H148" s="17"/>
      <c r="I148" s="6" cm="1">
        <f t="array" aca="1" ref="I148" ca="1">INDIRECT("'"&amp;$C148&amp;"'!"&amp;I$2&amp;MATCH($D148,INDIRECT("'"&amp;$C148&amp;"'!$A:$A"),0))</f>
        <v>13</v>
      </c>
      <c r="J148" s="6" cm="1">
        <f t="array" aca="1" ref="J148" ca="1">INDIRECT("'"&amp;$C148&amp;"'!"&amp;J$2&amp;MATCH($D148,INDIRECT("'"&amp;$C148&amp;"'!$A:$A"),0))</f>
        <v>13</v>
      </c>
      <c r="K148" s="6" cm="1">
        <f t="array" aca="1" ref="K148" ca="1">INDIRECT("'"&amp;$C148&amp;"'!"&amp;K$2&amp;MATCH($D148,INDIRECT("'"&amp;$C148&amp;"'!$A:$A"),0))</f>
        <v>73</v>
      </c>
      <c r="L148" s="6" cm="1">
        <f t="array" aca="1" ref="L148" ca="1">INDIRECT("'"&amp;$C148&amp;"'!"&amp;L$2&amp;MATCH($D148,INDIRECT("'"&amp;$C148&amp;"'!$A:$A"),0))</f>
        <v>0</v>
      </c>
    </row>
    <row r="149" spans="2:14" x14ac:dyDescent="0.35">
      <c r="B149" s="5" t="s">
        <v>258</v>
      </c>
      <c r="C149" s="5" t="s">
        <v>227</v>
      </c>
      <c r="D149" s="7">
        <v>3</v>
      </c>
      <c r="E149" s="17" cm="1">
        <f t="array" aca="1" ref="E149" ca="1">INDIRECT("'"&amp;$C149&amp;"'!"&amp;E$2&amp;MATCH($D149,INDIRECT("'"&amp;$C149&amp;"'!$A:$A"),0))</f>
        <v>0.18840999999999999</v>
      </c>
      <c r="F149" s="17" cm="1">
        <f t="array" aca="1" ref="F149" ca="1">INDIRECT("'"&amp;$C149&amp;"'!"&amp;F$2&amp;MATCH($D149,INDIRECT("'"&amp;$C149&amp;"'!$A:$A"),0))</f>
        <v>1</v>
      </c>
      <c r="G149" s="17" cm="1">
        <f t="array" aca="1" ref="G149" ca="1">INDIRECT("'"&amp;$C149&amp;"'!"&amp;G$2&amp;MATCH($D149,INDIRECT("'"&amp;$C149&amp;"'!$A:$A"),0))</f>
        <v>0.31707000000000002</v>
      </c>
      <c r="H149" s="17"/>
      <c r="I149" s="6" cm="1">
        <f t="array" aca="1" ref="I149" ca="1">INDIRECT("'"&amp;$C149&amp;"'!"&amp;I$2&amp;MATCH($D149,INDIRECT("'"&amp;$C149&amp;"'!$A:$A"),0))</f>
        <v>13</v>
      </c>
      <c r="J149" s="6" cm="1">
        <f t="array" aca="1" ref="J149" ca="1">INDIRECT("'"&amp;$C149&amp;"'!"&amp;J$2&amp;MATCH($D149,INDIRECT("'"&amp;$C149&amp;"'!$A:$A"),0))</f>
        <v>13</v>
      </c>
      <c r="K149" s="6" cm="1">
        <f t="array" aca="1" ref="K149" ca="1">INDIRECT("'"&amp;$C149&amp;"'!"&amp;K$2&amp;MATCH($D149,INDIRECT("'"&amp;$C149&amp;"'!$A:$A"),0))</f>
        <v>56</v>
      </c>
      <c r="L149" s="6" cm="1">
        <f t="array" aca="1" ref="L149" ca="1">INDIRECT("'"&amp;$C149&amp;"'!"&amp;L$2&amp;MATCH($D149,INDIRECT("'"&amp;$C149&amp;"'!$A:$A"),0))</f>
        <v>0</v>
      </c>
    </row>
    <row r="150" spans="2:14" x14ac:dyDescent="0.35">
      <c r="B150" s="25" t="s">
        <v>260</v>
      </c>
      <c r="C150" s="5" t="s">
        <v>247</v>
      </c>
      <c r="D150" s="7">
        <v>3</v>
      </c>
      <c r="E150" s="17" cm="1">
        <f t="array" aca="1" ref="E150" ca="1">INDIRECT("'"&amp;$C150&amp;"'!"&amp;E$2&amp;MATCH($D150,INDIRECT("'"&amp;$C150&amp;"'!$A:$A"),0))</f>
        <v>0.43332999999999999</v>
      </c>
      <c r="F150" s="17" cm="1">
        <f t="array" aca="1" ref="F150" ca="1">INDIRECT("'"&amp;$C150&amp;"'!"&amp;F$2&amp;MATCH($D150,INDIRECT("'"&amp;$C150&amp;"'!$A:$A"),0))</f>
        <v>1</v>
      </c>
      <c r="G150" s="17" cm="1">
        <f t="array" aca="1" ref="G150" ca="1">INDIRECT("'"&amp;$C150&amp;"'!"&amp;G$2&amp;MATCH($D150,INDIRECT("'"&amp;$C150&amp;"'!$A:$A"),0))</f>
        <v>0.60465000000000002</v>
      </c>
      <c r="H150" s="17"/>
      <c r="I150" s="6" cm="1">
        <f t="array" aca="1" ref="I150" ca="1">INDIRECT("'"&amp;$C150&amp;"'!"&amp;I$2&amp;MATCH($D150,INDIRECT("'"&amp;$C150&amp;"'!$A:$A"),0))</f>
        <v>13</v>
      </c>
      <c r="J150" s="6" cm="1">
        <f t="array" aca="1" ref="J150" ca="1">INDIRECT("'"&amp;$C150&amp;"'!"&amp;J$2&amp;MATCH($D150,INDIRECT("'"&amp;$C150&amp;"'!$A:$A"),0))</f>
        <v>13</v>
      </c>
      <c r="K150" s="6" cm="1">
        <f t="array" aca="1" ref="K150" ca="1">INDIRECT("'"&amp;$C150&amp;"'!"&amp;K$2&amp;MATCH($D150,INDIRECT("'"&amp;$C150&amp;"'!$A:$A"),0))</f>
        <v>17</v>
      </c>
      <c r="L150" s="6" cm="1">
        <f t="array" aca="1" ref="L150" ca="1">INDIRECT("'"&amp;$C150&amp;"'!"&amp;L$2&amp;MATCH($D150,INDIRECT("'"&amp;$C150&amp;"'!$A:$A"),0))</f>
        <v>0</v>
      </c>
    </row>
    <row r="151" spans="2:14" x14ac:dyDescent="0.35">
      <c r="B151" s="25" t="s">
        <v>261</v>
      </c>
      <c r="C151" s="5" t="s">
        <v>248</v>
      </c>
      <c r="D151" s="7">
        <v>3</v>
      </c>
      <c r="E151" s="17" cm="1">
        <f t="array" aca="1" ref="E151" ca="1">INDIRECT("'"&amp;$C151&amp;"'!"&amp;E$2&amp;MATCH($D151,INDIRECT("'"&amp;$C151&amp;"'!$A:$A"),0))</f>
        <v>0.59091000000000005</v>
      </c>
      <c r="F151" s="17" cm="1">
        <f t="array" aca="1" ref="F151" ca="1">INDIRECT("'"&amp;$C151&amp;"'!"&amp;F$2&amp;MATCH($D151,INDIRECT("'"&amp;$C151&amp;"'!$A:$A"),0))</f>
        <v>1</v>
      </c>
      <c r="G151" s="17" cm="1">
        <f t="array" aca="1" ref="G151" ca="1">INDIRECT("'"&amp;$C151&amp;"'!"&amp;G$2&amp;MATCH($D151,INDIRECT("'"&amp;$C151&amp;"'!$A:$A"),0))</f>
        <v>0.74285999999999996</v>
      </c>
      <c r="H151" s="17"/>
      <c r="I151" s="6" cm="1">
        <f t="array" aca="1" ref="I151" ca="1">INDIRECT("'"&amp;$C151&amp;"'!"&amp;I$2&amp;MATCH($D151,INDIRECT("'"&amp;$C151&amp;"'!$A:$A"),0))</f>
        <v>13</v>
      </c>
      <c r="J151" s="6" cm="1">
        <f t="array" aca="1" ref="J151" ca="1">INDIRECT("'"&amp;$C151&amp;"'!"&amp;J$2&amp;MATCH($D151,INDIRECT("'"&amp;$C151&amp;"'!$A:$A"),0))</f>
        <v>13</v>
      </c>
      <c r="K151" s="6" cm="1">
        <f t="array" aca="1" ref="K151" ca="1">INDIRECT("'"&amp;$C151&amp;"'!"&amp;K$2&amp;MATCH($D151,INDIRECT("'"&amp;$C151&amp;"'!$A:$A"),0))</f>
        <v>9</v>
      </c>
      <c r="L151" s="6" cm="1">
        <f t="array" aca="1" ref="L151" ca="1">INDIRECT("'"&amp;$C151&amp;"'!"&amp;L$2&amp;MATCH($D151,INDIRECT("'"&amp;$C151&amp;"'!$A:$A"),0))</f>
        <v>0</v>
      </c>
    </row>
    <row r="152" spans="2:14" x14ac:dyDescent="0.35">
      <c r="B152" s="5" t="s">
        <v>282</v>
      </c>
      <c r="C152" s="5" t="s">
        <v>285</v>
      </c>
      <c r="D152" s="7">
        <v>3</v>
      </c>
      <c r="E152" s="17" cm="1">
        <f t="array" aca="1" ref="E152" ca="1">INDIRECT("'"&amp;$C152&amp;"'!"&amp;E$2&amp;MATCH($D152,INDIRECT("'"&amp;$C152&amp;"'!$A:$A"),0))</f>
        <v>0.33333000000000002</v>
      </c>
      <c r="F152" s="17" cm="1">
        <f t="array" aca="1" ref="F152" ca="1">INDIRECT("'"&amp;$C152&amp;"'!"&amp;F$2&amp;MATCH($D152,INDIRECT("'"&amp;$C152&amp;"'!$A:$A"),0))</f>
        <v>0.92308000000000001</v>
      </c>
      <c r="G152" s="17" cm="1">
        <f t="array" aca="1" ref="G152" ca="1">INDIRECT("'"&amp;$C152&amp;"'!"&amp;G$2&amp;MATCH($D152,INDIRECT("'"&amp;$C152&amp;"'!$A:$A"),0))</f>
        <v>0.48980000000000001</v>
      </c>
      <c r="H152" s="17"/>
      <c r="I152" s="6" cm="1">
        <f t="array" aca="1" ref="I152" ca="1">INDIRECT("'"&amp;$C152&amp;"'!"&amp;I$2&amp;MATCH($D152,INDIRECT("'"&amp;$C152&amp;"'!$A:$A"),0))</f>
        <v>13</v>
      </c>
      <c r="J152" s="6" cm="1">
        <f t="array" aca="1" ref="J152" ca="1">INDIRECT("'"&amp;$C152&amp;"'!"&amp;J$2&amp;MATCH($D152,INDIRECT("'"&amp;$C152&amp;"'!$A:$A"),0))</f>
        <v>12</v>
      </c>
      <c r="K152" s="6" cm="1">
        <f t="array" aca="1" ref="K152" ca="1">INDIRECT("'"&amp;$C152&amp;"'!"&amp;K$2&amp;MATCH($D152,INDIRECT("'"&amp;$C152&amp;"'!$A:$A"),0))</f>
        <v>24</v>
      </c>
      <c r="L152" s="6" cm="1">
        <f t="array" aca="1" ref="L152" ca="1">INDIRECT("'"&amp;$C152&amp;"'!"&amp;L$2&amp;MATCH($D152,INDIRECT("'"&amp;$C152&amp;"'!$A:$A"),0))</f>
        <v>1</v>
      </c>
    </row>
    <row r="153" spans="2:14" x14ac:dyDescent="0.35">
      <c r="B153" s="5" t="s">
        <v>283</v>
      </c>
      <c r="C153" s="5" t="s">
        <v>286</v>
      </c>
      <c r="D153" s="7">
        <v>3</v>
      </c>
      <c r="E153" s="17" cm="1">
        <f t="array" aca="1" ref="E153" ca="1">INDIRECT("'"&amp;$C153&amp;"'!"&amp;E$2&amp;MATCH($D153,INDIRECT("'"&amp;$C153&amp;"'!$A:$A"),0))</f>
        <v>0.25490000000000002</v>
      </c>
      <c r="F153" s="17" cm="1">
        <f t="array" aca="1" ref="F153" ca="1">INDIRECT("'"&amp;$C153&amp;"'!"&amp;F$2&amp;MATCH($D153,INDIRECT("'"&amp;$C153&amp;"'!$A:$A"),0))</f>
        <v>1</v>
      </c>
      <c r="G153" s="17" cm="1">
        <f t="array" aca="1" ref="G153" ca="1">INDIRECT("'"&amp;$C153&amp;"'!"&amp;G$2&amp;MATCH($D153,INDIRECT("'"&amp;$C153&amp;"'!$A:$A"),0))</f>
        <v>0.40625</v>
      </c>
      <c r="H153" s="17"/>
      <c r="I153" s="6" cm="1">
        <f t="array" aca="1" ref="I153" ca="1">INDIRECT("'"&amp;$C153&amp;"'!"&amp;I$2&amp;MATCH($D153,INDIRECT("'"&amp;$C153&amp;"'!$A:$A"),0))</f>
        <v>13</v>
      </c>
      <c r="J153" s="6" cm="1">
        <f t="array" aca="1" ref="J153" ca="1">INDIRECT("'"&amp;$C153&amp;"'!"&amp;J$2&amp;MATCH($D153,INDIRECT("'"&amp;$C153&amp;"'!$A:$A"),0))</f>
        <v>13</v>
      </c>
      <c r="K153" s="6" cm="1">
        <f t="array" aca="1" ref="K153" ca="1">INDIRECT("'"&amp;$C153&amp;"'!"&amp;K$2&amp;MATCH($D153,INDIRECT("'"&amp;$C153&amp;"'!$A:$A"),0))</f>
        <v>38</v>
      </c>
      <c r="L153" s="6" cm="1">
        <f t="array" aca="1" ref="L153" ca="1">INDIRECT("'"&amp;$C153&amp;"'!"&amp;L$2&amp;MATCH($D153,INDIRECT("'"&amp;$C153&amp;"'!$A:$A"),0))</f>
        <v>0</v>
      </c>
    </row>
    <row r="154" spans="2:14" x14ac:dyDescent="0.35">
      <c r="B154" s="5" t="s">
        <v>284</v>
      </c>
      <c r="C154" s="5" t="s">
        <v>287</v>
      </c>
      <c r="D154" s="7">
        <v>3</v>
      </c>
      <c r="E154" s="17" cm="1">
        <f t="array" aca="1" ref="E154" ca="1">INDIRECT("'"&amp;$C154&amp;"'!"&amp;E$2&amp;MATCH($D154,INDIRECT("'"&amp;$C154&amp;"'!$A:$A"),0))</f>
        <v>0.52</v>
      </c>
      <c r="F154" s="17" cm="1">
        <f t="array" aca="1" ref="F154" ca="1">INDIRECT("'"&amp;$C154&amp;"'!"&amp;F$2&amp;MATCH($D154,INDIRECT("'"&amp;$C154&amp;"'!$A:$A"),0))</f>
        <v>1</v>
      </c>
      <c r="G154" s="17" cm="1">
        <f t="array" aca="1" ref="G154" ca="1">INDIRECT("'"&amp;$C154&amp;"'!"&amp;G$2&amp;MATCH($D154,INDIRECT("'"&amp;$C154&amp;"'!$A:$A"),0))</f>
        <v>0.68420999999999998</v>
      </c>
      <c r="H154" s="17"/>
      <c r="I154" s="6" cm="1">
        <f t="array" aca="1" ref="I154" ca="1">INDIRECT("'"&amp;$C154&amp;"'!"&amp;I$2&amp;MATCH($D154,INDIRECT("'"&amp;$C154&amp;"'!$A:$A"),0))</f>
        <v>13</v>
      </c>
      <c r="J154" s="6" cm="1">
        <f t="array" aca="1" ref="J154" ca="1">INDIRECT("'"&amp;$C154&amp;"'!"&amp;J$2&amp;MATCH($D154,INDIRECT("'"&amp;$C154&amp;"'!$A:$A"),0))</f>
        <v>13</v>
      </c>
      <c r="K154" s="6" cm="1">
        <f t="array" aca="1" ref="K154" ca="1">INDIRECT("'"&amp;$C154&amp;"'!"&amp;K$2&amp;MATCH($D154,INDIRECT("'"&amp;$C154&amp;"'!$A:$A"),0))</f>
        <v>12</v>
      </c>
      <c r="L154" s="6" cm="1">
        <f t="array" aca="1" ref="L154" ca="1">INDIRECT("'"&amp;$C154&amp;"'!"&amp;L$2&amp;MATCH($D154,INDIRECT("'"&amp;$C154&amp;"'!$A:$A"),0))</f>
        <v>0</v>
      </c>
    </row>
    <row r="155" spans="2:14" x14ac:dyDescent="0.35">
      <c r="B155" s="5" t="s">
        <v>262</v>
      </c>
      <c r="C155" s="5" t="s">
        <v>222</v>
      </c>
      <c r="D155" s="7">
        <v>3</v>
      </c>
      <c r="E155" s="17" cm="1">
        <f t="array" aca="1" ref="E155" ca="1">INDIRECT("'"&amp;$C155&amp;"'!"&amp;E$2&amp;MATCH($D155,INDIRECT("'"&amp;$C155&amp;"'!$A:$A"),0))</f>
        <v>0.28888999999999998</v>
      </c>
      <c r="F155" s="17" cm="1">
        <f t="array" aca="1" ref="F155" ca="1">INDIRECT("'"&amp;$C155&amp;"'!"&amp;F$2&amp;MATCH($D155,INDIRECT("'"&amp;$C155&amp;"'!$A:$A"),0))</f>
        <v>1</v>
      </c>
      <c r="G155" s="17" cm="1">
        <f t="array" aca="1" ref="G155" ca="1">INDIRECT("'"&amp;$C155&amp;"'!"&amp;G$2&amp;MATCH($D155,INDIRECT("'"&amp;$C155&amp;"'!$A:$A"),0))</f>
        <v>0.44828000000000001</v>
      </c>
      <c r="H155" s="17"/>
      <c r="I155" s="6" cm="1">
        <f t="array" aca="1" ref="I155" ca="1">INDIRECT("'"&amp;$C155&amp;"'!"&amp;I$2&amp;MATCH($D155,INDIRECT("'"&amp;$C155&amp;"'!$A:$A"),0))</f>
        <v>13</v>
      </c>
      <c r="J155" s="6" cm="1">
        <f t="array" aca="1" ref="J155" ca="1">INDIRECT("'"&amp;$C155&amp;"'!"&amp;J$2&amp;MATCH($D155,INDIRECT("'"&amp;$C155&amp;"'!$A:$A"),0))</f>
        <v>13</v>
      </c>
      <c r="K155" s="6" cm="1">
        <f t="array" aca="1" ref="K155" ca="1">INDIRECT("'"&amp;$C155&amp;"'!"&amp;K$2&amp;MATCH($D155,INDIRECT("'"&amp;$C155&amp;"'!$A:$A"),0))</f>
        <v>32</v>
      </c>
      <c r="L155" s="6" cm="1">
        <f t="array" aca="1" ref="L155" ca="1">INDIRECT("'"&amp;$C155&amp;"'!"&amp;L$2&amp;MATCH($D155,INDIRECT("'"&amp;$C155&amp;"'!$A:$A"),0))</f>
        <v>0</v>
      </c>
    </row>
    <row r="156" spans="2:14" x14ac:dyDescent="0.35">
      <c r="B156" s="5" t="s">
        <v>263</v>
      </c>
      <c r="C156" s="5" t="s">
        <v>223</v>
      </c>
      <c r="D156" s="7">
        <v>3</v>
      </c>
      <c r="E156" s="17" cm="1">
        <f t="array" aca="1" ref="E156" ca="1">INDIRECT("'"&amp;$C156&amp;"'!"&amp;E$2&amp;MATCH($D156,INDIRECT("'"&amp;$C156&amp;"'!$A:$A"),0))</f>
        <v>0.30952000000000002</v>
      </c>
      <c r="F156" s="17" cm="1">
        <f t="array" aca="1" ref="F156" ca="1">INDIRECT("'"&amp;$C156&amp;"'!"&amp;F$2&amp;MATCH($D156,INDIRECT("'"&amp;$C156&amp;"'!$A:$A"),0))</f>
        <v>1</v>
      </c>
      <c r="G156" s="17" cm="1">
        <f t="array" aca="1" ref="G156" ca="1">INDIRECT("'"&amp;$C156&amp;"'!"&amp;G$2&amp;MATCH($D156,INDIRECT("'"&amp;$C156&amp;"'!$A:$A"),0))</f>
        <v>0.47272999999999998</v>
      </c>
      <c r="H156" s="17"/>
      <c r="I156" s="6" cm="1">
        <f t="array" aca="1" ref="I156" ca="1">INDIRECT("'"&amp;$C156&amp;"'!"&amp;I$2&amp;MATCH($D156,INDIRECT("'"&amp;$C156&amp;"'!$A:$A"),0))</f>
        <v>13</v>
      </c>
      <c r="J156" s="6" cm="1">
        <f t="array" aca="1" ref="J156" ca="1">INDIRECT("'"&amp;$C156&amp;"'!"&amp;J$2&amp;MATCH($D156,INDIRECT("'"&amp;$C156&amp;"'!$A:$A"),0))</f>
        <v>13</v>
      </c>
      <c r="K156" s="6" cm="1">
        <f t="array" aca="1" ref="K156" ca="1">INDIRECT("'"&amp;$C156&amp;"'!"&amp;K$2&amp;MATCH($D156,INDIRECT("'"&amp;$C156&amp;"'!$A:$A"),0))</f>
        <v>29</v>
      </c>
      <c r="L156" s="6" cm="1">
        <f t="array" aca="1" ref="L156" ca="1">INDIRECT("'"&amp;$C156&amp;"'!"&amp;L$2&amp;MATCH($D156,INDIRECT("'"&amp;$C156&amp;"'!$A:$A"),0))</f>
        <v>0</v>
      </c>
    </row>
    <row r="157" spans="2:14" x14ac:dyDescent="0.35">
      <c r="B157" s="24" t="s">
        <v>264</v>
      </c>
      <c r="C157" s="5" t="s">
        <v>224</v>
      </c>
      <c r="D157" s="7">
        <v>3</v>
      </c>
      <c r="E157" s="17" cm="1">
        <f t="array" aca="1" ref="E157" ca="1">INDIRECT("'"&amp;$C157&amp;"'!"&amp;E$2&amp;MATCH($D157,INDIRECT("'"&amp;$C157&amp;"'!$A:$A"),0))</f>
        <v>0.41935</v>
      </c>
      <c r="F157" s="17" cm="1">
        <f t="array" aca="1" ref="F157" ca="1">INDIRECT("'"&amp;$C157&amp;"'!"&amp;F$2&amp;MATCH($D157,INDIRECT("'"&amp;$C157&amp;"'!$A:$A"),0))</f>
        <v>1</v>
      </c>
      <c r="G157" s="17" cm="1">
        <f t="array" aca="1" ref="G157" ca="1">INDIRECT("'"&amp;$C157&amp;"'!"&amp;G$2&amp;MATCH($D157,INDIRECT("'"&amp;$C157&amp;"'!$A:$A"),0))</f>
        <v>0.59091000000000005</v>
      </c>
      <c r="H157" s="17"/>
      <c r="I157" s="6" cm="1">
        <f t="array" aca="1" ref="I157" ca="1">INDIRECT("'"&amp;$C157&amp;"'!"&amp;I$2&amp;MATCH($D157,INDIRECT("'"&amp;$C157&amp;"'!$A:$A"),0))</f>
        <v>13</v>
      </c>
      <c r="J157" s="6" cm="1">
        <f t="array" aca="1" ref="J157" ca="1">INDIRECT("'"&amp;$C157&amp;"'!"&amp;J$2&amp;MATCH($D157,INDIRECT("'"&amp;$C157&amp;"'!$A:$A"),0))</f>
        <v>13</v>
      </c>
      <c r="K157" s="6" cm="1">
        <f t="array" aca="1" ref="K157" ca="1">INDIRECT("'"&amp;$C157&amp;"'!"&amp;K$2&amp;MATCH($D157,INDIRECT("'"&amp;$C157&amp;"'!$A:$A"),0))</f>
        <v>18</v>
      </c>
      <c r="L157" s="6" cm="1">
        <f t="array" aca="1" ref="L157" ca="1">INDIRECT("'"&amp;$C157&amp;"'!"&amp;L$2&amp;MATCH($D157,INDIRECT("'"&amp;$C157&amp;"'!$A:$A"),0))</f>
        <v>0</v>
      </c>
      <c r="M157" s="7"/>
      <c r="N157" s="9"/>
    </row>
    <row r="158" spans="2:14" x14ac:dyDescent="0.35">
      <c r="B158" s="5" t="s">
        <v>265</v>
      </c>
      <c r="C158" s="5" t="s">
        <v>233</v>
      </c>
      <c r="D158" s="7">
        <v>3</v>
      </c>
      <c r="E158" s="17" cm="1">
        <f t="array" aca="1" ref="E158" ca="1">INDIRECT("'"&amp;$C158&amp;"'!"&amp;E$2&amp;MATCH($D158,INDIRECT("'"&amp;$C158&amp;"'!$A:$A"),0))</f>
        <v>0.27660000000000001</v>
      </c>
      <c r="F158" s="17" cm="1">
        <f t="array" aca="1" ref="F158" ca="1">INDIRECT("'"&amp;$C158&amp;"'!"&amp;F$2&amp;MATCH($D158,INDIRECT("'"&amp;$C158&amp;"'!$A:$A"),0))</f>
        <v>1</v>
      </c>
      <c r="G158" s="17" cm="1">
        <f t="array" aca="1" ref="G158" ca="1">INDIRECT("'"&amp;$C158&amp;"'!"&amp;G$2&amp;MATCH($D158,INDIRECT("'"&amp;$C158&amp;"'!$A:$A"),0))</f>
        <v>0.43332999999999999</v>
      </c>
      <c r="H158" s="17"/>
      <c r="I158" s="6" cm="1">
        <f t="array" aca="1" ref="I158" ca="1">INDIRECT("'"&amp;$C158&amp;"'!"&amp;I$2&amp;MATCH($D158,INDIRECT("'"&amp;$C158&amp;"'!$A:$A"),0))</f>
        <v>13</v>
      </c>
      <c r="J158" s="6" cm="1">
        <f t="array" aca="1" ref="J158" ca="1">INDIRECT("'"&amp;$C158&amp;"'!"&amp;J$2&amp;MATCH($D158,INDIRECT("'"&amp;$C158&amp;"'!$A:$A"),0))</f>
        <v>13</v>
      </c>
      <c r="K158" s="6" cm="1">
        <f t="array" aca="1" ref="K158" ca="1">INDIRECT("'"&amp;$C158&amp;"'!"&amp;K$2&amp;MATCH($D158,INDIRECT("'"&amp;$C158&amp;"'!$A:$A"),0))</f>
        <v>34</v>
      </c>
      <c r="L158" s="6" cm="1">
        <f t="array" aca="1" ref="L158" ca="1">INDIRECT("'"&amp;$C158&amp;"'!"&amp;L$2&amp;MATCH($D158,INDIRECT("'"&amp;$C158&amp;"'!$A:$A"),0))</f>
        <v>0</v>
      </c>
      <c r="M158" s="7"/>
      <c r="N158" s="9"/>
    </row>
    <row r="159" spans="2:14" x14ac:dyDescent="0.35">
      <c r="B159" s="5" t="s">
        <v>266</v>
      </c>
      <c r="C159" s="5" t="s">
        <v>232</v>
      </c>
      <c r="D159" s="7">
        <v>3</v>
      </c>
      <c r="E159" s="17" cm="1">
        <f t="array" aca="1" ref="E159" ca="1">INDIRECT("'"&amp;$C159&amp;"'!"&amp;E$2&amp;MATCH($D159,INDIRECT("'"&amp;$C159&amp;"'!$A:$A"),0))</f>
        <v>0.43332999999999999</v>
      </c>
      <c r="F159" s="17" cm="1">
        <f t="array" aca="1" ref="F159" ca="1">INDIRECT("'"&amp;$C159&amp;"'!"&amp;F$2&amp;MATCH($D159,INDIRECT("'"&amp;$C159&amp;"'!$A:$A"),0))</f>
        <v>1</v>
      </c>
      <c r="G159" s="17" cm="1">
        <f t="array" aca="1" ref="G159" ca="1">INDIRECT("'"&amp;$C159&amp;"'!"&amp;G$2&amp;MATCH($D159,INDIRECT("'"&amp;$C159&amp;"'!$A:$A"),0))</f>
        <v>0.60465000000000002</v>
      </c>
      <c r="H159" s="17"/>
      <c r="I159" s="6" cm="1">
        <f t="array" aca="1" ref="I159" ca="1">INDIRECT("'"&amp;$C159&amp;"'!"&amp;I$2&amp;MATCH($D159,INDIRECT("'"&amp;$C159&amp;"'!$A:$A"),0))</f>
        <v>13</v>
      </c>
      <c r="J159" s="6" cm="1">
        <f t="array" aca="1" ref="J159" ca="1">INDIRECT("'"&amp;$C159&amp;"'!"&amp;J$2&amp;MATCH($D159,INDIRECT("'"&amp;$C159&amp;"'!$A:$A"),0))</f>
        <v>13</v>
      </c>
      <c r="K159" s="6" cm="1">
        <f t="array" aca="1" ref="K159" ca="1">INDIRECT("'"&amp;$C159&amp;"'!"&amp;K$2&amp;MATCH($D159,INDIRECT("'"&amp;$C159&amp;"'!$A:$A"),0))</f>
        <v>17</v>
      </c>
      <c r="L159" s="6" cm="1">
        <f t="array" aca="1" ref="L159" ca="1">INDIRECT("'"&amp;$C159&amp;"'!"&amp;L$2&amp;MATCH($D159,INDIRECT("'"&amp;$C159&amp;"'!$A:$A"),0))</f>
        <v>0</v>
      </c>
      <c r="M159" s="7"/>
      <c r="N159" s="9"/>
    </row>
    <row r="160" spans="2:14" x14ac:dyDescent="0.35">
      <c r="B160" s="25" t="s">
        <v>267</v>
      </c>
      <c r="C160" s="5" t="s">
        <v>234</v>
      </c>
      <c r="D160" s="7">
        <v>3</v>
      </c>
      <c r="E160" s="17" cm="1">
        <f t="array" aca="1" ref="E160" ca="1">INDIRECT("'"&amp;$C160&amp;"'!"&amp;E$2&amp;MATCH($D160,INDIRECT("'"&amp;$C160&amp;"'!$A:$A"),0))</f>
        <v>0.54544999999999999</v>
      </c>
      <c r="F160" s="17" cm="1">
        <f t="array" aca="1" ref="F160" ca="1">INDIRECT("'"&amp;$C160&amp;"'!"&amp;F$2&amp;MATCH($D160,INDIRECT("'"&amp;$C160&amp;"'!$A:$A"),0))</f>
        <v>0.92308000000000001</v>
      </c>
      <c r="G160" s="17" cm="1">
        <f t="array" aca="1" ref="G160" ca="1">INDIRECT("'"&amp;$C160&amp;"'!"&amp;G$2&amp;MATCH($D160,INDIRECT("'"&amp;$C160&amp;"'!$A:$A"),0))</f>
        <v>0.68571000000000004</v>
      </c>
      <c r="H160" s="17"/>
      <c r="I160" s="6" cm="1">
        <f t="array" aca="1" ref="I160" ca="1">INDIRECT("'"&amp;$C160&amp;"'!"&amp;I$2&amp;MATCH($D160,INDIRECT("'"&amp;$C160&amp;"'!$A:$A"),0))</f>
        <v>13</v>
      </c>
      <c r="J160" s="6" cm="1">
        <f t="array" aca="1" ref="J160" ca="1">INDIRECT("'"&amp;$C160&amp;"'!"&amp;J$2&amp;MATCH($D160,INDIRECT("'"&amp;$C160&amp;"'!$A:$A"),0))</f>
        <v>12</v>
      </c>
      <c r="K160" s="6" cm="1">
        <f t="array" aca="1" ref="K160" ca="1">INDIRECT("'"&amp;$C160&amp;"'!"&amp;K$2&amp;MATCH($D160,INDIRECT("'"&amp;$C160&amp;"'!$A:$A"),0))</f>
        <v>10</v>
      </c>
      <c r="L160" s="6" cm="1">
        <f t="array" aca="1" ref="L160" ca="1">INDIRECT("'"&amp;$C160&amp;"'!"&amp;L$2&amp;MATCH($D160,INDIRECT("'"&amp;$C160&amp;"'!$A:$A"),0))</f>
        <v>1</v>
      </c>
      <c r="M160" s="7"/>
      <c r="N160" s="9"/>
    </row>
    <row r="161" spans="2:14" x14ac:dyDescent="0.35">
      <c r="B161" s="5" t="s">
        <v>270</v>
      </c>
      <c r="C161" s="5" t="s">
        <v>268</v>
      </c>
      <c r="D161" s="7">
        <v>3</v>
      </c>
      <c r="E161" s="17" cm="1">
        <f t="array" aca="1" ref="E161" ca="1">INDIRECT("'"&amp;$C161&amp;"'!"&amp;E$2&amp;MATCH($D161,INDIRECT("'"&amp;$C161&amp;"'!$A:$A"),0))</f>
        <v>0.15293999999999999</v>
      </c>
      <c r="F161" s="17" cm="1">
        <f t="array" aca="1" ref="F161" ca="1">INDIRECT("'"&amp;$C161&amp;"'!"&amp;F$2&amp;MATCH($D161,INDIRECT("'"&amp;$C161&amp;"'!$A:$A"),0))</f>
        <v>1</v>
      </c>
      <c r="G161" s="17" cm="1">
        <f t="array" aca="1" ref="G161" ca="1">INDIRECT("'"&amp;$C161&amp;"'!"&amp;G$2&amp;MATCH($D161,INDIRECT("'"&amp;$C161&amp;"'!$A:$A"),0))</f>
        <v>0.26530999999999999</v>
      </c>
      <c r="H161" s="17"/>
      <c r="I161" s="6" cm="1">
        <f t="array" aca="1" ref="I161" ca="1">INDIRECT("'"&amp;$C161&amp;"'!"&amp;I$2&amp;MATCH($D161,INDIRECT("'"&amp;$C161&amp;"'!$A:$A"),0))</f>
        <v>13</v>
      </c>
      <c r="J161" s="6" cm="1">
        <f t="array" aca="1" ref="J161" ca="1">INDIRECT("'"&amp;$C161&amp;"'!"&amp;J$2&amp;MATCH($D161,INDIRECT("'"&amp;$C161&amp;"'!$A:$A"),0))</f>
        <v>13</v>
      </c>
      <c r="K161" s="6" cm="1">
        <f t="array" aca="1" ref="K161" ca="1">INDIRECT("'"&amp;$C161&amp;"'!"&amp;K$2&amp;MATCH($D161,INDIRECT("'"&amp;$C161&amp;"'!$A:$A"),0))</f>
        <v>72</v>
      </c>
      <c r="L161" s="6" cm="1">
        <f t="array" aca="1" ref="L161" ca="1">INDIRECT("'"&amp;$C161&amp;"'!"&amp;L$2&amp;MATCH($D161,INDIRECT("'"&amp;$C161&amp;"'!$A:$A"),0))</f>
        <v>0</v>
      </c>
      <c r="M161" s="7"/>
      <c r="N161" s="9"/>
    </row>
    <row r="162" spans="2:14" x14ac:dyDescent="0.35">
      <c r="B162" s="25" t="s">
        <v>271</v>
      </c>
      <c r="C162" s="5" t="s">
        <v>269</v>
      </c>
      <c r="D162" s="7">
        <v>3</v>
      </c>
      <c r="E162" s="17" cm="1">
        <f t="array" aca="1" ref="E162" ca="1">INDIRECT("'"&amp;$C162&amp;"'!"&amp;E$2&amp;MATCH($D162,INDIRECT("'"&amp;$C162&amp;"'!$A:$A"),0))</f>
        <v>0.46428999999999998</v>
      </c>
      <c r="F162" s="17" cm="1">
        <f t="array" aca="1" ref="F162" ca="1">INDIRECT("'"&amp;$C162&amp;"'!"&amp;F$2&amp;MATCH($D162,INDIRECT("'"&amp;$C162&amp;"'!$A:$A"),0))</f>
        <v>1</v>
      </c>
      <c r="G162" s="17" cm="1">
        <f t="array" aca="1" ref="G162" ca="1">INDIRECT("'"&amp;$C162&amp;"'!"&amp;G$2&amp;MATCH($D162,INDIRECT("'"&amp;$C162&amp;"'!$A:$A"),0))</f>
        <v>0.63414999999999999</v>
      </c>
      <c r="H162" s="17"/>
      <c r="I162" s="6" cm="1">
        <f t="array" aca="1" ref="I162" ca="1">INDIRECT("'"&amp;$C162&amp;"'!"&amp;I$2&amp;MATCH($D162,INDIRECT("'"&amp;$C162&amp;"'!$A:$A"),0))</f>
        <v>13</v>
      </c>
      <c r="J162" s="6" cm="1">
        <f t="array" aca="1" ref="J162" ca="1">INDIRECT("'"&amp;$C162&amp;"'!"&amp;J$2&amp;MATCH($D162,INDIRECT("'"&amp;$C162&amp;"'!$A:$A"),0))</f>
        <v>13</v>
      </c>
      <c r="K162" s="6" cm="1">
        <f t="array" aca="1" ref="K162" ca="1">INDIRECT("'"&amp;$C162&amp;"'!"&amp;K$2&amp;MATCH($D162,INDIRECT("'"&amp;$C162&amp;"'!$A:$A"),0))</f>
        <v>15</v>
      </c>
      <c r="L162" s="6" cm="1">
        <f t="array" aca="1" ref="L162" ca="1">INDIRECT("'"&amp;$C162&amp;"'!"&amp;L$2&amp;MATCH($D162,INDIRECT("'"&amp;$C162&amp;"'!$A:$A"),0))</f>
        <v>0</v>
      </c>
      <c r="M162" s="7"/>
      <c r="N162" s="9"/>
    </row>
    <row r="163" spans="2:14" x14ac:dyDescent="0.35">
      <c r="D163" s="7"/>
      <c r="E163" s="17"/>
      <c r="F163" s="17"/>
      <c r="G163" s="17"/>
      <c r="H163" s="17"/>
      <c r="M163" s="7"/>
      <c r="N163" s="9"/>
    </row>
    <row r="165" spans="2:14" x14ac:dyDescent="0.35">
      <c r="B165" s="24" t="s">
        <v>246</v>
      </c>
      <c r="C165" s="5" t="s">
        <v>249</v>
      </c>
      <c r="D165" s="7">
        <v>4</v>
      </c>
      <c r="E165" s="17" cm="1">
        <f t="array" aca="1" ref="E165" ca="1">INDIRECT("'"&amp;$C165&amp;"'!"&amp;E$2&amp;MATCH($D165,INDIRECT("'"&amp;$C165&amp;"'!$A:$A"),0))</f>
        <v>0.81818000000000002</v>
      </c>
      <c r="F165" s="17" cm="1">
        <f t="array" aca="1" ref="F165" ca="1">INDIRECT("'"&amp;$C165&amp;"'!"&amp;F$2&amp;MATCH($D165,INDIRECT("'"&amp;$C165&amp;"'!$A:$A"),0))</f>
        <v>0.78261000000000003</v>
      </c>
      <c r="G165" s="17" cm="1">
        <f t="array" aca="1" ref="G165" ca="1">INDIRECT("'"&amp;$C165&amp;"'!"&amp;G$2&amp;MATCH($D165,INDIRECT("'"&amp;$C165&amp;"'!$A:$A"),0))</f>
        <v>0.8</v>
      </c>
      <c r="H165" s="17"/>
      <c r="I165" s="6" cm="1">
        <f t="array" aca="1" ref="I165" ca="1">INDIRECT("'"&amp;$C165&amp;"'!"&amp;I$2&amp;MATCH($D165,INDIRECT("'"&amp;$C165&amp;"'!$A:$A"),0))</f>
        <v>23</v>
      </c>
      <c r="J165" s="6" cm="1">
        <f t="array" aca="1" ref="J165" ca="1">INDIRECT("'"&amp;$C165&amp;"'!"&amp;J$2&amp;MATCH($D165,INDIRECT("'"&amp;$C165&amp;"'!$A:$A"),0))</f>
        <v>18</v>
      </c>
      <c r="K165" s="6" cm="1">
        <f t="array" aca="1" ref="K165" ca="1">INDIRECT("'"&amp;$C165&amp;"'!"&amp;K$2&amp;MATCH($D165,INDIRECT("'"&amp;$C165&amp;"'!$A:$A"),0))</f>
        <v>4</v>
      </c>
      <c r="L165" s="6" cm="1">
        <f t="array" aca="1" ref="L165" ca="1">INDIRECT("'"&amp;$C165&amp;"'!"&amp;L$2&amp;MATCH($D165,INDIRECT("'"&amp;$C165&amp;"'!$A:$A"),0))</f>
        <v>5</v>
      </c>
    </row>
    <row r="166" spans="2:14" x14ac:dyDescent="0.35">
      <c r="B166" s="25" t="s">
        <v>251</v>
      </c>
      <c r="C166" s="5" t="s">
        <v>250</v>
      </c>
      <c r="D166" s="7">
        <v>4</v>
      </c>
      <c r="E166" s="17" cm="1">
        <f t="array" aca="1" ref="E166" ca="1">INDIRECT("'"&amp;$C166&amp;"'!"&amp;E$2&amp;MATCH($D166,INDIRECT("'"&amp;$C166&amp;"'!$A:$A"),0))</f>
        <v>0.76</v>
      </c>
      <c r="F166" s="17" cm="1">
        <f t="array" aca="1" ref="F166" ca="1">INDIRECT("'"&amp;$C166&amp;"'!"&amp;F$2&amp;MATCH($D166,INDIRECT("'"&amp;$C166&amp;"'!$A:$A"),0))</f>
        <v>0.82608999999999999</v>
      </c>
      <c r="G166" s="17" cm="1">
        <f t="array" aca="1" ref="G166" ca="1">INDIRECT("'"&amp;$C166&amp;"'!"&amp;G$2&amp;MATCH($D166,INDIRECT("'"&amp;$C166&amp;"'!$A:$A"),0))</f>
        <v>0.79166999999999998</v>
      </c>
      <c r="H166" s="17"/>
      <c r="I166" s="6" cm="1">
        <f t="array" aca="1" ref="I166" ca="1">INDIRECT("'"&amp;$C166&amp;"'!"&amp;I$2&amp;MATCH($D166,INDIRECT("'"&amp;$C166&amp;"'!$A:$A"),0))</f>
        <v>23</v>
      </c>
      <c r="J166" s="6" cm="1">
        <f t="array" aca="1" ref="J166" ca="1">INDIRECT("'"&amp;$C166&amp;"'!"&amp;J$2&amp;MATCH($D166,INDIRECT("'"&amp;$C166&amp;"'!$A:$A"),0))</f>
        <v>19</v>
      </c>
      <c r="K166" s="6" cm="1">
        <f t="array" aca="1" ref="K166" ca="1">INDIRECT("'"&amp;$C166&amp;"'!"&amp;K$2&amp;MATCH($D166,INDIRECT("'"&amp;$C166&amp;"'!$A:$A"),0))</f>
        <v>6</v>
      </c>
      <c r="L166" s="6" cm="1">
        <f t="array" aca="1" ref="L166" ca="1">INDIRECT("'"&amp;$C166&amp;"'!"&amp;L$2&amp;MATCH($D166,INDIRECT("'"&amp;$C166&amp;"'!$A:$A"),0))</f>
        <v>4</v>
      </c>
    </row>
    <row r="167" spans="2:14" x14ac:dyDescent="0.35">
      <c r="B167" s="5" t="s">
        <v>252</v>
      </c>
      <c r="C167" s="5" t="s">
        <v>221</v>
      </c>
      <c r="D167" s="7">
        <v>4</v>
      </c>
      <c r="E167" s="17" cm="1">
        <f t="array" aca="1" ref="E167" ca="1">INDIRECT("'"&amp;$C167&amp;"'!"&amp;E$2&amp;MATCH($D167,INDIRECT("'"&amp;$C167&amp;"'!$A:$A"),0))</f>
        <v>0.3</v>
      </c>
      <c r="F167" s="17" cm="1">
        <f t="array" aca="1" ref="F167" ca="1">INDIRECT("'"&amp;$C167&amp;"'!"&amp;F$2&amp;MATCH($D167,INDIRECT("'"&amp;$C167&amp;"'!$A:$A"),0))</f>
        <v>0.91303999999999996</v>
      </c>
      <c r="G167" s="17" cm="1">
        <f t="array" aca="1" ref="G167" ca="1">INDIRECT("'"&amp;$C167&amp;"'!"&amp;G$2&amp;MATCH($D167,INDIRECT("'"&amp;$C167&amp;"'!$A:$A"),0))</f>
        <v>0.45161000000000001</v>
      </c>
      <c r="H167" s="17"/>
      <c r="I167" s="6" cm="1">
        <f t="array" aca="1" ref="I167" ca="1">INDIRECT("'"&amp;$C167&amp;"'!"&amp;I$2&amp;MATCH($D167,INDIRECT("'"&amp;$C167&amp;"'!$A:$A"),0))</f>
        <v>23</v>
      </c>
      <c r="J167" s="6" cm="1">
        <f t="array" aca="1" ref="J167" ca="1">INDIRECT("'"&amp;$C167&amp;"'!"&amp;J$2&amp;MATCH($D167,INDIRECT("'"&amp;$C167&amp;"'!$A:$A"),0))</f>
        <v>21</v>
      </c>
      <c r="K167" s="6" cm="1">
        <f t="array" aca="1" ref="K167" ca="1">INDIRECT("'"&amp;$C167&amp;"'!"&amp;K$2&amp;MATCH($D167,INDIRECT("'"&amp;$C167&amp;"'!$A:$A"),0))</f>
        <v>49</v>
      </c>
      <c r="L167" s="6" cm="1">
        <f t="array" aca="1" ref="L167" ca="1">INDIRECT("'"&amp;$C167&amp;"'!"&amp;L$2&amp;MATCH($D167,INDIRECT("'"&amp;$C167&amp;"'!$A:$A"),0))</f>
        <v>2</v>
      </c>
    </row>
    <row r="168" spans="2:14" x14ac:dyDescent="0.35">
      <c r="B168" s="5" t="s">
        <v>254</v>
      </c>
      <c r="C168" s="5" t="s">
        <v>220</v>
      </c>
      <c r="D168" s="7">
        <v>4</v>
      </c>
      <c r="E168" s="17" cm="1">
        <f t="array" aca="1" ref="E168" ca="1">INDIRECT("'"&amp;$C168&amp;"'!"&amp;E$2&amp;MATCH($D168,INDIRECT("'"&amp;$C168&amp;"'!$A:$A"),0))</f>
        <v>0.27272999999999997</v>
      </c>
      <c r="F168" s="17" cm="1">
        <f t="array" aca="1" ref="F168" ca="1">INDIRECT("'"&amp;$C168&amp;"'!"&amp;F$2&amp;MATCH($D168,INDIRECT("'"&amp;$C168&amp;"'!$A:$A"),0))</f>
        <v>0.91303999999999996</v>
      </c>
      <c r="G168" s="17" cm="1">
        <f t="array" aca="1" ref="G168" ca="1">INDIRECT("'"&amp;$C168&amp;"'!"&amp;G$2&amp;MATCH($D168,INDIRECT("'"&amp;$C168&amp;"'!$A:$A"),0))</f>
        <v>0.42</v>
      </c>
      <c r="H168" s="17"/>
      <c r="I168" s="6" cm="1">
        <f t="array" aca="1" ref="I168" ca="1">INDIRECT("'"&amp;$C168&amp;"'!"&amp;I$2&amp;MATCH($D168,INDIRECT("'"&amp;$C168&amp;"'!$A:$A"),0))</f>
        <v>23</v>
      </c>
      <c r="J168" s="6" cm="1">
        <f t="array" aca="1" ref="J168" ca="1">INDIRECT("'"&amp;$C168&amp;"'!"&amp;J$2&amp;MATCH($D168,INDIRECT("'"&amp;$C168&amp;"'!$A:$A"),0))</f>
        <v>21</v>
      </c>
      <c r="K168" s="6" cm="1">
        <f t="array" aca="1" ref="K168" ca="1">INDIRECT("'"&amp;$C168&amp;"'!"&amp;K$2&amp;MATCH($D168,INDIRECT("'"&amp;$C168&amp;"'!$A:$A"),0))</f>
        <v>56</v>
      </c>
      <c r="L168" s="6" cm="1">
        <f t="array" aca="1" ref="L168" ca="1">INDIRECT("'"&amp;$C168&amp;"'!"&amp;L$2&amp;MATCH($D168,INDIRECT("'"&amp;$C168&amp;"'!$A:$A"),0))</f>
        <v>2</v>
      </c>
    </row>
    <row r="169" spans="2:14" x14ac:dyDescent="0.35">
      <c r="B169" s="5" t="s">
        <v>253</v>
      </c>
      <c r="C169" s="5" t="s">
        <v>219</v>
      </c>
      <c r="D169" s="7">
        <v>4</v>
      </c>
      <c r="E169" s="17" cm="1">
        <f t="array" aca="1" ref="E169" ca="1">INDIRECT("'"&amp;$C169&amp;"'!"&amp;E$2&amp;MATCH($D169,INDIRECT("'"&amp;$C169&amp;"'!$A:$A"),0))</f>
        <v>0.23457</v>
      </c>
      <c r="F169" s="17" cm="1">
        <f t="array" aca="1" ref="F169" ca="1">INDIRECT("'"&amp;$C169&amp;"'!"&amp;F$2&amp;MATCH($D169,INDIRECT("'"&amp;$C169&amp;"'!$A:$A"),0))</f>
        <v>0.82608999999999999</v>
      </c>
      <c r="G169" s="17" cm="1">
        <f t="array" aca="1" ref="G169" ca="1">INDIRECT("'"&amp;$C169&amp;"'!"&amp;G$2&amp;MATCH($D169,INDIRECT("'"&amp;$C169&amp;"'!$A:$A"),0))</f>
        <v>0.36537999999999998</v>
      </c>
      <c r="H169" s="17"/>
      <c r="I169" s="6" cm="1">
        <f t="array" aca="1" ref="I169" ca="1">INDIRECT("'"&amp;$C169&amp;"'!"&amp;I$2&amp;MATCH($D169,INDIRECT("'"&amp;$C169&amp;"'!$A:$A"),0))</f>
        <v>23</v>
      </c>
      <c r="J169" s="6" cm="1">
        <f t="array" aca="1" ref="J169" ca="1">INDIRECT("'"&amp;$C169&amp;"'!"&amp;J$2&amp;MATCH($D169,INDIRECT("'"&amp;$C169&amp;"'!$A:$A"),0))</f>
        <v>19</v>
      </c>
      <c r="K169" s="6" cm="1">
        <f t="array" aca="1" ref="K169" ca="1">INDIRECT("'"&amp;$C169&amp;"'!"&amp;K$2&amp;MATCH($D169,INDIRECT("'"&amp;$C169&amp;"'!$A:$A"),0))</f>
        <v>62</v>
      </c>
      <c r="L169" s="6" cm="1">
        <f t="array" aca="1" ref="L169" ca="1">INDIRECT("'"&amp;$C169&amp;"'!"&amp;L$2&amp;MATCH($D169,INDIRECT("'"&amp;$C169&amp;"'!$A:$A"),0))</f>
        <v>4</v>
      </c>
    </row>
    <row r="170" spans="2:14" x14ac:dyDescent="0.35">
      <c r="B170" s="24" t="s">
        <v>259</v>
      </c>
      <c r="C170" s="5" t="s">
        <v>228</v>
      </c>
      <c r="D170" s="7">
        <v>4</v>
      </c>
      <c r="E170" s="17" cm="1">
        <f t="array" aca="1" ref="E170" ca="1">INDIRECT("'"&amp;$C170&amp;"'!"&amp;E$2&amp;MATCH($D170,INDIRECT("'"&amp;$C170&amp;"'!$A:$A"),0))</f>
        <v>0.21518999999999999</v>
      </c>
      <c r="F170" s="17" cm="1">
        <f t="array" aca="1" ref="F170" ca="1">INDIRECT("'"&amp;$C170&amp;"'!"&amp;F$2&amp;MATCH($D170,INDIRECT("'"&amp;$C170&amp;"'!$A:$A"),0))</f>
        <v>0.73912999999999995</v>
      </c>
      <c r="G170" s="17" cm="1">
        <f t="array" aca="1" ref="G170" ca="1">INDIRECT("'"&amp;$C170&amp;"'!"&amp;G$2&amp;MATCH($D170,INDIRECT("'"&amp;$C170&amp;"'!$A:$A"),0))</f>
        <v>0.33333000000000002</v>
      </c>
      <c r="H170" s="17"/>
      <c r="I170" s="6" cm="1">
        <f t="array" aca="1" ref="I170" ca="1">INDIRECT("'"&amp;$C170&amp;"'!"&amp;I$2&amp;MATCH($D170,INDIRECT("'"&amp;$C170&amp;"'!$A:$A"),0))</f>
        <v>23</v>
      </c>
      <c r="J170" s="6" cm="1">
        <f t="array" aca="1" ref="J170" ca="1">INDIRECT("'"&amp;$C170&amp;"'!"&amp;J$2&amp;MATCH($D170,INDIRECT("'"&amp;$C170&amp;"'!$A:$A"),0))</f>
        <v>17</v>
      </c>
      <c r="K170" s="6" cm="1">
        <f t="array" aca="1" ref="K170" ca="1">INDIRECT("'"&amp;$C170&amp;"'!"&amp;K$2&amp;MATCH($D170,INDIRECT("'"&amp;$C170&amp;"'!$A:$A"),0))</f>
        <v>62</v>
      </c>
      <c r="L170" s="6" cm="1">
        <f t="array" aca="1" ref="L170" ca="1">INDIRECT("'"&amp;$C170&amp;"'!"&amp;L$2&amp;MATCH($D170,INDIRECT("'"&amp;$C170&amp;"'!$A:$A"),0))</f>
        <v>6</v>
      </c>
    </row>
    <row r="171" spans="2:14" x14ac:dyDescent="0.35">
      <c r="B171" s="5" t="s">
        <v>255</v>
      </c>
      <c r="C171" s="5" t="s">
        <v>218</v>
      </c>
      <c r="D171" s="7">
        <v>4</v>
      </c>
      <c r="E171" s="17" cm="1">
        <f t="array" aca="1" ref="E171" ca="1">INDIRECT("'"&amp;$C171&amp;"'!"&amp;E$2&amp;MATCH($D171,INDIRECT("'"&amp;$C171&amp;"'!$A:$A"),0))</f>
        <v>6.7460000000000006E-2</v>
      </c>
      <c r="F171" s="17" cm="1">
        <f t="array" aca="1" ref="F171" ca="1">INDIRECT("'"&amp;$C171&amp;"'!"&amp;F$2&amp;MATCH($D171,INDIRECT("'"&amp;$C171&amp;"'!$A:$A"),0))</f>
        <v>0.73912999999999995</v>
      </c>
      <c r="G171" s="17" cm="1">
        <f t="array" aca="1" ref="G171" ca="1">INDIRECT("'"&amp;$C171&amp;"'!"&amp;G$2&amp;MATCH($D171,INDIRECT("'"&amp;$C171&amp;"'!$A:$A"),0))</f>
        <v>0.12364</v>
      </c>
      <c r="H171" s="17"/>
      <c r="I171" s="6" cm="1">
        <f t="array" aca="1" ref="I171" ca="1">INDIRECT("'"&amp;$C171&amp;"'!"&amp;I$2&amp;MATCH($D171,INDIRECT("'"&amp;$C171&amp;"'!$A:$A"),0))</f>
        <v>23</v>
      </c>
      <c r="J171" s="6" cm="1">
        <f t="array" aca="1" ref="J171" ca="1">INDIRECT("'"&amp;$C171&amp;"'!"&amp;J$2&amp;MATCH($D171,INDIRECT("'"&amp;$C171&amp;"'!$A:$A"),0))</f>
        <v>17</v>
      </c>
      <c r="K171" s="6" cm="1">
        <f t="array" aca="1" ref="K171" ca="1">INDIRECT("'"&amp;$C171&amp;"'!"&amp;K$2&amp;MATCH($D171,INDIRECT("'"&amp;$C171&amp;"'!$A:$A"),0))</f>
        <v>235</v>
      </c>
      <c r="L171" s="6" cm="1">
        <f t="array" aca="1" ref="L171" ca="1">INDIRECT("'"&amp;$C171&amp;"'!"&amp;L$2&amp;MATCH($D171,INDIRECT("'"&amp;$C171&amp;"'!$A:$A"),0))</f>
        <v>6</v>
      </c>
    </row>
    <row r="172" spans="2:14" x14ac:dyDescent="0.35">
      <c r="B172" s="5" t="s">
        <v>256</v>
      </c>
      <c r="C172" s="5" t="s">
        <v>217</v>
      </c>
      <c r="D172" s="7">
        <v>4</v>
      </c>
      <c r="E172" s="17" cm="1">
        <f t="array" aca="1" ref="E172" ca="1">INDIRECT("'"&amp;$C172&amp;"'!"&amp;E$2&amp;MATCH($D172,INDIRECT("'"&amp;$C172&amp;"'!$A:$A"),0))</f>
        <v>0.17857000000000001</v>
      </c>
      <c r="F172" s="17" cm="1">
        <f t="array" aca="1" ref="F172" ca="1">INDIRECT("'"&amp;$C172&amp;"'!"&amp;F$2&amp;MATCH($D172,INDIRECT("'"&amp;$C172&amp;"'!$A:$A"),0))</f>
        <v>0.65217000000000003</v>
      </c>
      <c r="G172" s="17" cm="1">
        <f t="array" aca="1" ref="G172" ca="1">INDIRECT("'"&amp;$C172&amp;"'!"&amp;G$2&amp;MATCH($D172,INDIRECT("'"&amp;$C172&amp;"'!$A:$A"),0))</f>
        <v>0.28037000000000001</v>
      </c>
      <c r="H172" s="17"/>
      <c r="I172" s="6" cm="1">
        <f t="array" aca="1" ref="I172" ca="1">INDIRECT("'"&amp;$C172&amp;"'!"&amp;I$2&amp;MATCH($D172,INDIRECT("'"&amp;$C172&amp;"'!$A:$A"),0))</f>
        <v>23</v>
      </c>
      <c r="J172" s="6" cm="1">
        <f t="array" aca="1" ref="J172" ca="1">INDIRECT("'"&amp;$C172&amp;"'!"&amp;J$2&amp;MATCH($D172,INDIRECT("'"&amp;$C172&amp;"'!$A:$A"),0))</f>
        <v>15</v>
      </c>
      <c r="K172" s="6" cm="1">
        <f t="array" aca="1" ref="K172" ca="1">INDIRECT("'"&amp;$C172&amp;"'!"&amp;K$2&amp;MATCH($D172,INDIRECT("'"&amp;$C172&amp;"'!$A:$A"),0))</f>
        <v>69</v>
      </c>
      <c r="L172" s="6" cm="1">
        <f t="array" aca="1" ref="L172" ca="1">INDIRECT("'"&amp;$C172&amp;"'!"&amp;L$2&amp;MATCH($D172,INDIRECT("'"&amp;$C172&amp;"'!$A:$A"),0))</f>
        <v>8</v>
      </c>
    </row>
    <row r="173" spans="2:14" x14ac:dyDescent="0.35">
      <c r="B173" s="5" t="s">
        <v>257</v>
      </c>
      <c r="C173" s="5" t="s">
        <v>216</v>
      </c>
      <c r="D173" s="7">
        <v>4</v>
      </c>
      <c r="E173" s="17" cm="1">
        <f t="array" aca="1" ref="E173" ca="1">INDIRECT("'"&amp;$C173&amp;"'!"&amp;E$2&amp;MATCH($D173,INDIRECT("'"&amp;$C173&amp;"'!$A:$A"),0))</f>
        <v>0.14285999999999999</v>
      </c>
      <c r="F173" s="17" cm="1">
        <f t="array" aca="1" ref="F173" ca="1">INDIRECT("'"&amp;$C173&amp;"'!"&amp;F$2&amp;MATCH($D173,INDIRECT("'"&amp;$C173&amp;"'!$A:$A"),0))</f>
        <v>0.52173999999999998</v>
      </c>
      <c r="G173" s="17" cm="1">
        <f t="array" aca="1" ref="G173" ca="1">INDIRECT("'"&amp;$C173&amp;"'!"&amp;G$2&amp;MATCH($D173,INDIRECT("'"&amp;$C173&amp;"'!$A:$A"),0))</f>
        <v>0.2243</v>
      </c>
      <c r="H173" s="17"/>
      <c r="I173" s="6" cm="1">
        <f t="array" aca="1" ref="I173" ca="1">INDIRECT("'"&amp;$C173&amp;"'!"&amp;I$2&amp;MATCH($D173,INDIRECT("'"&amp;$C173&amp;"'!$A:$A"),0))</f>
        <v>23</v>
      </c>
      <c r="J173" s="6" cm="1">
        <f t="array" aca="1" ref="J173" ca="1">INDIRECT("'"&amp;$C173&amp;"'!"&amp;J$2&amp;MATCH($D173,INDIRECT("'"&amp;$C173&amp;"'!$A:$A"),0))</f>
        <v>12</v>
      </c>
      <c r="K173" s="6" cm="1">
        <f t="array" aca="1" ref="K173" ca="1">INDIRECT("'"&amp;$C173&amp;"'!"&amp;K$2&amp;MATCH($D173,INDIRECT("'"&amp;$C173&amp;"'!$A:$A"),0))</f>
        <v>72</v>
      </c>
      <c r="L173" s="6" cm="1">
        <f t="array" aca="1" ref="L173" ca="1">INDIRECT("'"&amp;$C173&amp;"'!"&amp;L$2&amp;MATCH($D173,INDIRECT("'"&amp;$C173&amp;"'!$A:$A"),0))</f>
        <v>11</v>
      </c>
    </row>
    <row r="174" spans="2:14" x14ac:dyDescent="0.35">
      <c r="B174" s="5" t="s">
        <v>258</v>
      </c>
      <c r="C174" s="5" t="s">
        <v>227</v>
      </c>
      <c r="D174" s="7">
        <v>4</v>
      </c>
      <c r="E174" s="17" cm="1">
        <f t="array" aca="1" ref="E174" ca="1">INDIRECT("'"&amp;$C174&amp;"'!"&amp;E$2&amp;MATCH($D174,INDIRECT("'"&amp;$C174&amp;"'!$A:$A"),0))</f>
        <v>0.17949000000000001</v>
      </c>
      <c r="F174" s="17" cm="1">
        <f t="array" aca="1" ref="F174" ca="1">INDIRECT("'"&amp;$C174&amp;"'!"&amp;F$2&amp;MATCH($D174,INDIRECT("'"&amp;$C174&amp;"'!$A:$A"),0))</f>
        <v>0.91303999999999996</v>
      </c>
      <c r="G174" s="17" cm="1">
        <f t="array" aca="1" ref="G174" ca="1">INDIRECT("'"&amp;$C174&amp;"'!"&amp;G$2&amp;MATCH($D174,INDIRECT("'"&amp;$C174&amp;"'!$A:$A"),0))</f>
        <v>0.3</v>
      </c>
      <c r="H174" s="17"/>
      <c r="I174" s="6" cm="1">
        <f t="array" aca="1" ref="I174" ca="1">INDIRECT("'"&amp;$C174&amp;"'!"&amp;I$2&amp;MATCH($D174,INDIRECT("'"&amp;$C174&amp;"'!$A:$A"),0))</f>
        <v>23</v>
      </c>
      <c r="J174" s="6" cm="1">
        <f t="array" aca="1" ref="J174" ca="1">INDIRECT("'"&amp;$C174&amp;"'!"&amp;J$2&amp;MATCH($D174,INDIRECT("'"&amp;$C174&amp;"'!$A:$A"),0))</f>
        <v>21</v>
      </c>
      <c r="K174" s="6" cm="1">
        <f t="array" aca="1" ref="K174" ca="1">INDIRECT("'"&amp;$C174&amp;"'!"&amp;K$2&amp;MATCH($D174,INDIRECT("'"&amp;$C174&amp;"'!$A:$A"),0))</f>
        <v>96</v>
      </c>
      <c r="L174" s="6" cm="1">
        <f t="array" aca="1" ref="L174" ca="1">INDIRECT("'"&amp;$C174&amp;"'!"&amp;L$2&amp;MATCH($D174,INDIRECT("'"&amp;$C174&amp;"'!$A:$A"),0))</f>
        <v>2</v>
      </c>
    </row>
    <row r="175" spans="2:14" x14ac:dyDescent="0.35">
      <c r="B175" s="25" t="s">
        <v>260</v>
      </c>
      <c r="C175" s="5" t="s">
        <v>247</v>
      </c>
      <c r="D175" s="7">
        <v>4</v>
      </c>
      <c r="E175" s="17" cm="1">
        <f t="array" aca="1" ref="E175" ca="1">INDIRECT("'"&amp;$C175&amp;"'!"&amp;E$2&amp;MATCH($D175,INDIRECT("'"&amp;$C175&amp;"'!$A:$A"),0))</f>
        <v>0.42857000000000001</v>
      </c>
      <c r="F175" s="17" cm="1">
        <f t="array" aca="1" ref="F175" ca="1">INDIRECT("'"&amp;$C175&amp;"'!"&amp;F$2&amp;MATCH($D175,INDIRECT("'"&amp;$C175&amp;"'!$A:$A"),0))</f>
        <v>0.91303999999999996</v>
      </c>
      <c r="G175" s="17" cm="1">
        <f t="array" aca="1" ref="G175" ca="1">INDIRECT("'"&amp;$C175&amp;"'!"&amp;G$2&amp;MATCH($D175,INDIRECT("'"&amp;$C175&amp;"'!$A:$A"),0))</f>
        <v>0.58333000000000002</v>
      </c>
      <c r="H175" s="17"/>
      <c r="I175" s="6" cm="1">
        <f t="array" aca="1" ref="I175" ca="1">INDIRECT("'"&amp;$C175&amp;"'!"&amp;I$2&amp;MATCH($D175,INDIRECT("'"&amp;$C175&amp;"'!$A:$A"),0))</f>
        <v>23</v>
      </c>
      <c r="J175" s="6" cm="1">
        <f t="array" aca="1" ref="J175" ca="1">INDIRECT("'"&amp;$C175&amp;"'!"&amp;J$2&amp;MATCH($D175,INDIRECT("'"&amp;$C175&amp;"'!$A:$A"),0))</f>
        <v>21</v>
      </c>
      <c r="K175" s="6" cm="1">
        <f t="array" aca="1" ref="K175" ca="1">INDIRECT("'"&amp;$C175&amp;"'!"&amp;K$2&amp;MATCH($D175,INDIRECT("'"&amp;$C175&amp;"'!$A:$A"),0))</f>
        <v>28</v>
      </c>
      <c r="L175" s="6" cm="1">
        <f t="array" aca="1" ref="L175" ca="1">INDIRECT("'"&amp;$C175&amp;"'!"&amp;L$2&amp;MATCH($D175,INDIRECT("'"&amp;$C175&amp;"'!$A:$A"),0))</f>
        <v>2</v>
      </c>
    </row>
    <row r="176" spans="2:14" x14ac:dyDescent="0.35">
      <c r="B176" s="25" t="s">
        <v>261</v>
      </c>
      <c r="C176" s="5" t="s">
        <v>248</v>
      </c>
      <c r="D176" s="7">
        <v>4</v>
      </c>
      <c r="E176" s="17" cm="1">
        <f t="array" aca="1" ref="E176" ca="1">INDIRECT("'"&amp;$C176&amp;"'!"&amp;E$2&amp;MATCH($D176,INDIRECT("'"&amp;$C176&amp;"'!$A:$A"),0))</f>
        <v>0.56757000000000002</v>
      </c>
      <c r="F176" s="17" cm="1">
        <f t="array" aca="1" ref="F176" ca="1">INDIRECT("'"&amp;$C176&amp;"'!"&amp;F$2&amp;MATCH($D176,INDIRECT("'"&amp;$C176&amp;"'!$A:$A"),0))</f>
        <v>0.91303999999999996</v>
      </c>
      <c r="G176" s="17" cm="1">
        <f t="array" aca="1" ref="G176" ca="1">INDIRECT("'"&amp;$C176&amp;"'!"&amp;G$2&amp;MATCH($D176,INDIRECT("'"&amp;$C176&amp;"'!$A:$A"),0))</f>
        <v>0.7</v>
      </c>
      <c r="H176" s="17"/>
      <c r="I176" s="6" cm="1">
        <f t="array" aca="1" ref="I176" ca="1">INDIRECT("'"&amp;$C176&amp;"'!"&amp;I$2&amp;MATCH($D176,INDIRECT("'"&amp;$C176&amp;"'!$A:$A"),0))</f>
        <v>23</v>
      </c>
      <c r="J176" s="6" cm="1">
        <f t="array" aca="1" ref="J176" ca="1">INDIRECT("'"&amp;$C176&amp;"'!"&amp;J$2&amp;MATCH($D176,INDIRECT("'"&amp;$C176&amp;"'!$A:$A"),0))</f>
        <v>21</v>
      </c>
      <c r="K176" s="6" cm="1">
        <f t="array" aca="1" ref="K176" ca="1">INDIRECT("'"&amp;$C176&amp;"'!"&amp;K$2&amp;MATCH($D176,INDIRECT("'"&amp;$C176&amp;"'!$A:$A"),0))</f>
        <v>16</v>
      </c>
      <c r="L176" s="6" cm="1">
        <f t="array" aca="1" ref="L176" ca="1">INDIRECT("'"&amp;$C176&amp;"'!"&amp;L$2&amp;MATCH($D176,INDIRECT("'"&amp;$C176&amp;"'!$A:$A"),0))</f>
        <v>2</v>
      </c>
    </row>
    <row r="177" spans="2:14" x14ac:dyDescent="0.35">
      <c r="B177" s="5" t="s">
        <v>282</v>
      </c>
      <c r="C177" s="5" t="s">
        <v>285</v>
      </c>
      <c r="D177" s="7">
        <v>4</v>
      </c>
      <c r="E177" s="17" cm="1">
        <f t="array" aca="1" ref="E177" ca="1">INDIRECT("'"&amp;$C177&amp;"'!"&amp;E$2&amp;MATCH($D177,INDIRECT("'"&amp;$C177&amp;"'!$A:$A"),0))</f>
        <v>0.48780000000000001</v>
      </c>
      <c r="F177" s="17" cm="1">
        <f t="array" aca="1" ref="F177" ca="1">INDIRECT("'"&amp;$C177&amp;"'!"&amp;F$2&amp;MATCH($D177,INDIRECT("'"&amp;$C177&amp;"'!$A:$A"),0))</f>
        <v>0.86956999999999995</v>
      </c>
      <c r="G177" s="17" cm="1">
        <f t="array" aca="1" ref="G177" ca="1">INDIRECT("'"&amp;$C177&amp;"'!"&amp;G$2&amp;MATCH($D177,INDIRECT("'"&amp;$C177&amp;"'!$A:$A"),0))</f>
        <v>0.625</v>
      </c>
      <c r="H177" s="17"/>
      <c r="I177" s="6" cm="1">
        <f t="array" aca="1" ref="I177" ca="1">INDIRECT("'"&amp;$C177&amp;"'!"&amp;I$2&amp;MATCH($D177,INDIRECT("'"&amp;$C177&amp;"'!$A:$A"),0))</f>
        <v>23</v>
      </c>
      <c r="J177" s="6" cm="1">
        <f t="array" aca="1" ref="J177" ca="1">INDIRECT("'"&amp;$C177&amp;"'!"&amp;J$2&amp;MATCH($D177,INDIRECT("'"&amp;$C177&amp;"'!$A:$A"),0))</f>
        <v>20</v>
      </c>
      <c r="K177" s="6" cm="1">
        <f t="array" aca="1" ref="K177" ca="1">INDIRECT("'"&amp;$C177&amp;"'!"&amp;K$2&amp;MATCH($D177,INDIRECT("'"&amp;$C177&amp;"'!$A:$A"),0))</f>
        <v>21</v>
      </c>
      <c r="L177" s="6" cm="1">
        <f t="array" aca="1" ref="L177" ca="1">INDIRECT("'"&amp;$C177&amp;"'!"&amp;L$2&amp;MATCH($D177,INDIRECT("'"&amp;$C177&amp;"'!$A:$A"),0))</f>
        <v>3</v>
      </c>
    </row>
    <row r="178" spans="2:14" x14ac:dyDescent="0.35">
      <c r="B178" s="5" t="s">
        <v>283</v>
      </c>
      <c r="C178" s="5" t="s">
        <v>286</v>
      </c>
      <c r="D178" s="7">
        <v>4</v>
      </c>
      <c r="E178" s="17" cm="1">
        <f t="array" aca="1" ref="E178" ca="1">INDIRECT("'"&amp;$C178&amp;"'!"&amp;E$2&amp;MATCH($D178,INDIRECT("'"&amp;$C178&amp;"'!$A:$A"),0))</f>
        <v>0.21622</v>
      </c>
      <c r="F178" s="17" cm="1">
        <f t="array" aca="1" ref="F178" ca="1">INDIRECT("'"&amp;$C178&amp;"'!"&amp;F$2&amp;MATCH($D178,INDIRECT("'"&amp;$C178&amp;"'!$A:$A"),0))</f>
        <v>0.69564999999999999</v>
      </c>
      <c r="G178" s="17" cm="1">
        <f t="array" aca="1" ref="G178" ca="1">INDIRECT("'"&amp;$C178&amp;"'!"&amp;G$2&amp;MATCH($D178,INDIRECT("'"&amp;$C178&amp;"'!$A:$A"),0))</f>
        <v>0.32990000000000003</v>
      </c>
      <c r="H178" s="17"/>
      <c r="I178" s="6" cm="1">
        <f t="array" aca="1" ref="I178" ca="1">INDIRECT("'"&amp;$C178&amp;"'!"&amp;I$2&amp;MATCH($D178,INDIRECT("'"&amp;$C178&amp;"'!$A:$A"),0))</f>
        <v>23</v>
      </c>
      <c r="J178" s="6" cm="1">
        <f t="array" aca="1" ref="J178" ca="1">INDIRECT("'"&amp;$C178&amp;"'!"&amp;J$2&amp;MATCH($D178,INDIRECT("'"&amp;$C178&amp;"'!$A:$A"),0))</f>
        <v>16</v>
      </c>
      <c r="K178" s="6" cm="1">
        <f t="array" aca="1" ref="K178" ca="1">INDIRECT("'"&amp;$C178&amp;"'!"&amp;K$2&amp;MATCH($D178,INDIRECT("'"&amp;$C178&amp;"'!$A:$A"),0))</f>
        <v>58</v>
      </c>
      <c r="L178" s="6" cm="1">
        <f t="array" aca="1" ref="L178" ca="1">INDIRECT("'"&amp;$C178&amp;"'!"&amp;L$2&amp;MATCH($D178,INDIRECT("'"&amp;$C178&amp;"'!$A:$A"),0))</f>
        <v>7</v>
      </c>
    </row>
    <row r="179" spans="2:14" x14ac:dyDescent="0.35">
      <c r="B179" s="5" t="s">
        <v>284</v>
      </c>
      <c r="C179" s="5" t="s">
        <v>287</v>
      </c>
      <c r="D179" s="7">
        <v>4</v>
      </c>
      <c r="E179" s="17" cm="1">
        <f t="array" aca="1" ref="E179" ca="1">INDIRECT("'"&amp;$C179&amp;"'!"&amp;E$2&amp;MATCH($D179,INDIRECT("'"&amp;$C179&amp;"'!$A:$A"),0))</f>
        <v>0.48936000000000002</v>
      </c>
      <c r="F179" s="17" cm="1">
        <f t="array" aca="1" ref="F179" ca="1">INDIRECT("'"&amp;$C179&amp;"'!"&amp;F$2&amp;MATCH($D179,INDIRECT("'"&amp;$C179&amp;"'!$A:$A"),0))</f>
        <v>1</v>
      </c>
      <c r="G179" s="17" cm="1">
        <f t="array" aca="1" ref="G179" ca="1">INDIRECT("'"&amp;$C179&amp;"'!"&amp;G$2&amp;MATCH($D179,INDIRECT("'"&amp;$C179&amp;"'!$A:$A"),0))</f>
        <v>0.65713999999999995</v>
      </c>
      <c r="H179" s="17"/>
      <c r="I179" s="6" cm="1">
        <f t="array" aca="1" ref="I179" ca="1">INDIRECT("'"&amp;$C179&amp;"'!"&amp;I$2&amp;MATCH($D179,INDIRECT("'"&amp;$C179&amp;"'!$A:$A"),0))</f>
        <v>23</v>
      </c>
      <c r="J179" s="6" cm="1">
        <f t="array" aca="1" ref="J179" ca="1">INDIRECT("'"&amp;$C179&amp;"'!"&amp;J$2&amp;MATCH($D179,INDIRECT("'"&amp;$C179&amp;"'!$A:$A"),0))</f>
        <v>23</v>
      </c>
      <c r="K179" s="6" cm="1">
        <f t="array" aca="1" ref="K179" ca="1">INDIRECT("'"&amp;$C179&amp;"'!"&amp;K$2&amp;MATCH($D179,INDIRECT("'"&amp;$C179&amp;"'!$A:$A"),0))</f>
        <v>24</v>
      </c>
      <c r="L179" s="6" cm="1">
        <f t="array" aca="1" ref="L179" ca="1">INDIRECT("'"&amp;$C179&amp;"'!"&amp;L$2&amp;MATCH($D179,INDIRECT("'"&amp;$C179&amp;"'!$A:$A"),0))</f>
        <v>0</v>
      </c>
    </row>
    <row r="180" spans="2:14" x14ac:dyDescent="0.35">
      <c r="B180" s="5" t="s">
        <v>262</v>
      </c>
      <c r="C180" s="5" t="s">
        <v>222</v>
      </c>
      <c r="D180" s="7">
        <v>4</v>
      </c>
      <c r="E180" s="17" cm="1">
        <f t="array" aca="1" ref="E180" ca="1">INDIRECT("'"&amp;$C180&amp;"'!"&amp;E$2&amp;MATCH($D180,INDIRECT("'"&amp;$C180&amp;"'!$A:$A"),0))</f>
        <v>0.4</v>
      </c>
      <c r="F180" s="17" cm="1">
        <f t="array" aca="1" ref="F180" ca="1">INDIRECT("'"&amp;$C180&amp;"'!"&amp;F$2&amp;MATCH($D180,INDIRECT("'"&amp;$C180&amp;"'!$A:$A"),0))</f>
        <v>0.86956999999999995</v>
      </c>
      <c r="G180" s="17" cm="1">
        <f t="array" aca="1" ref="G180" ca="1">INDIRECT("'"&amp;$C180&amp;"'!"&amp;G$2&amp;MATCH($D180,INDIRECT("'"&amp;$C180&amp;"'!$A:$A"),0))</f>
        <v>0.54795000000000005</v>
      </c>
      <c r="H180" s="17"/>
      <c r="I180" s="6" cm="1">
        <f t="array" aca="1" ref="I180" ca="1">INDIRECT("'"&amp;$C180&amp;"'!"&amp;I$2&amp;MATCH($D180,INDIRECT("'"&amp;$C180&amp;"'!$A:$A"),0))</f>
        <v>23</v>
      </c>
      <c r="J180" s="6" cm="1">
        <f t="array" aca="1" ref="J180" ca="1">INDIRECT("'"&amp;$C180&amp;"'!"&amp;J$2&amp;MATCH($D180,INDIRECT("'"&amp;$C180&amp;"'!$A:$A"),0))</f>
        <v>20</v>
      </c>
      <c r="K180" s="6" cm="1">
        <f t="array" aca="1" ref="K180" ca="1">INDIRECT("'"&amp;$C180&amp;"'!"&amp;K$2&amp;MATCH($D180,INDIRECT("'"&amp;$C180&amp;"'!$A:$A"),0))</f>
        <v>30</v>
      </c>
      <c r="L180" s="6" cm="1">
        <f t="array" aca="1" ref="L180" ca="1">INDIRECT("'"&amp;$C180&amp;"'!"&amp;L$2&amp;MATCH($D180,INDIRECT("'"&amp;$C180&amp;"'!$A:$A"),0))</f>
        <v>3</v>
      </c>
    </row>
    <row r="181" spans="2:14" x14ac:dyDescent="0.35">
      <c r="B181" s="5" t="s">
        <v>263</v>
      </c>
      <c r="C181" s="5" t="s">
        <v>223</v>
      </c>
      <c r="D181" s="7">
        <v>4</v>
      </c>
      <c r="E181" s="17" cm="1">
        <f t="array" aca="1" ref="E181" ca="1">INDIRECT("'"&amp;$C181&amp;"'!"&amp;E$2&amp;MATCH($D181,INDIRECT("'"&amp;$C181&amp;"'!$A:$A"),0))</f>
        <v>0.54544999999999999</v>
      </c>
      <c r="F181" s="17" cm="1">
        <f t="array" aca="1" ref="F181" ca="1">INDIRECT("'"&amp;$C181&amp;"'!"&amp;F$2&amp;MATCH($D181,INDIRECT("'"&amp;$C181&amp;"'!$A:$A"),0))</f>
        <v>0.78261000000000003</v>
      </c>
      <c r="G181" s="17" cm="1">
        <f t="array" aca="1" ref="G181" ca="1">INDIRECT("'"&amp;$C181&amp;"'!"&amp;G$2&amp;MATCH($D181,INDIRECT("'"&amp;$C181&amp;"'!$A:$A"),0))</f>
        <v>0.64285999999999999</v>
      </c>
      <c r="H181" s="17"/>
      <c r="I181" s="6" cm="1">
        <f t="array" aca="1" ref="I181" ca="1">INDIRECT("'"&amp;$C181&amp;"'!"&amp;I$2&amp;MATCH($D181,INDIRECT("'"&amp;$C181&amp;"'!$A:$A"),0))</f>
        <v>23</v>
      </c>
      <c r="J181" s="6" cm="1">
        <f t="array" aca="1" ref="J181" ca="1">INDIRECT("'"&amp;$C181&amp;"'!"&amp;J$2&amp;MATCH($D181,INDIRECT("'"&amp;$C181&amp;"'!$A:$A"),0))</f>
        <v>18</v>
      </c>
      <c r="K181" s="6" cm="1">
        <f t="array" aca="1" ref="K181" ca="1">INDIRECT("'"&amp;$C181&amp;"'!"&amp;K$2&amp;MATCH($D181,INDIRECT("'"&amp;$C181&amp;"'!$A:$A"),0))</f>
        <v>15</v>
      </c>
      <c r="L181" s="6" cm="1">
        <f t="array" aca="1" ref="L181" ca="1">INDIRECT("'"&amp;$C181&amp;"'!"&amp;L$2&amp;MATCH($D181,INDIRECT("'"&amp;$C181&amp;"'!$A:$A"),0))</f>
        <v>5</v>
      </c>
    </row>
    <row r="182" spans="2:14" x14ac:dyDescent="0.35">
      <c r="B182" s="24" t="s">
        <v>264</v>
      </c>
      <c r="C182" s="5" t="s">
        <v>224</v>
      </c>
      <c r="D182" s="7">
        <v>4</v>
      </c>
      <c r="E182" s="17" cm="1">
        <f t="array" aca="1" ref="E182" ca="1">INDIRECT("'"&amp;$C182&amp;"'!"&amp;E$2&amp;MATCH($D182,INDIRECT("'"&amp;$C182&amp;"'!$A:$A"),0))</f>
        <v>0.52941000000000005</v>
      </c>
      <c r="F182" s="17" cm="1">
        <f t="array" aca="1" ref="F182" ca="1">INDIRECT("'"&amp;$C182&amp;"'!"&amp;F$2&amp;MATCH($D182,INDIRECT("'"&amp;$C182&amp;"'!$A:$A"),0))</f>
        <v>0.78261000000000003</v>
      </c>
      <c r="G182" s="17" cm="1">
        <f t="array" aca="1" ref="G182" ca="1">INDIRECT("'"&amp;$C182&amp;"'!"&amp;G$2&amp;MATCH($D182,INDIRECT("'"&amp;$C182&amp;"'!$A:$A"),0))</f>
        <v>0.63158000000000003</v>
      </c>
      <c r="H182" s="17"/>
      <c r="I182" s="6" cm="1">
        <f t="array" aca="1" ref="I182" ca="1">INDIRECT("'"&amp;$C182&amp;"'!"&amp;I$2&amp;MATCH($D182,INDIRECT("'"&amp;$C182&amp;"'!$A:$A"),0))</f>
        <v>23</v>
      </c>
      <c r="J182" s="6" cm="1">
        <f t="array" aca="1" ref="J182" ca="1">INDIRECT("'"&amp;$C182&amp;"'!"&amp;J$2&amp;MATCH($D182,INDIRECT("'"&amp;$C182&amp;"'!$A:$A"),0))</f>
        <v>18</v>
      </c>
      <c r="K182" s="6" cm="1">
        <f t="array" aca="1" ref="K182" ca="1">INDIRECT("'"&amp;$C182&amp;"'!"&amp;K$2&amp;MATCH($D182,INDIRECT("'"&amp;$C182&amp;"'!$A:$A"),0))</f>
        <v>16</v>
      </c>
      <c r="L182" s="6" cm="1">
        <f t="array" aca="1" ref="L182" ca="1">INDIRECT("'"&amp;$C182&amp;"'!"&amp;L$2&amp;MATCH($D182,INDIRECT("'"&amp;$C182&amp;"'!$A:$A"),0))</f>
        <v>5</v>
      </c>
      <c r="M182" s="7"/>
      <c r="N182" s="9"/>
    </row>
    <row r="183" spans="2:14" x14ac:dyDescent="0.35">
      <c r="B183" s="5" t="s">
        <v>265</v>
      </c>
      <c r="C183" s="5" t="s">
        <v>233</v>
      </c>
      <c r="D183" s="7">
        <v>4</v>
      </c>
      <c r="E183" s="17" cm="1">
        <f t="array" aca="1" ref="E183" ca="1">INDIRECT("'"&amp;$C183&amp;"'!"&amp;E$2&amp;MATCH($D183,INDIRECT("'"&amp;$C183&amp;"'!$A:$A"),0))</f>
        <v>0.33961999999999998</v>
      </c>
      <c r="F183" s="17" cm="1">
        <f t="array" aca="1" ref="F183" ca="1">INDIRECT("'"&amp;$C183&amp;"'!"&amp;F$2&amp;MATCH($D183,INDIRECT("'"&amp;$C183&amp;"'!$A:$A"),0))</f>
        <v>0.78261000000000003</v>
      </c>
      <c r="G183" s="17" cm="1">
        <f t="array" aca="1" ref="G183" ca="1">INDIRECT("'"&amp;$C183&amp;"'!"&amp;G$2&amp;MATCH($D183,INDIRECT("'"&amp;$C183&amp;"'!$A:$A"),0))</f>
        <v>0.47367999999999999</v>
      </c>
      <c r="H183" s="17"/>
      <c r="I183" s="6" cm="1">
        <f t="array" aca="1" ref="I183" ca="1">INDIRECT("'"&amp;$C183&amp;"'!"&amp;I$2&amp;MATCH($D183,INDIRECT("'"&amp;$C183&amp;"'!$A:$A"),0))</f>
        <v>23</v>
      </c>
      <c r="J183" s="6" cm="1">
        <f t="array" aca="1" ref="J183" ca="1">INDIRECT("'"&amp;$C183&amp;"'!"&amp;J$2&amp;MATCH($D183,INDIRECT("'"&amp;$C183&amp;"'!$A:$A"),0))</f>
        <v>18</v>
      </c>
      <c r="K183" s="6" cm="1">
        <f t="array" aca="1" ref="K183" ca="1">INDIRECT("'"&amp;$C183&amp;"'!"&amp;K$2&amp;MATCH($D183,INDIRECT("'"&amp;$C183&amp;"'!$A:$A"),0))</f>
        <v>35</v>
      </c>
      <c r="L183" s="6" cm="1">
        <f t="array" aca="1" ref="L183" ca="1">INDIRECT("'"&amp;$C183&amp;"'!"&amp;L$2&amp;MATCH($D183,INDIRECT("'"&amp;$C183&amp;"'!$A:$A"),0))</f>
        <v>5</v>
      </c>
      <c r="M183" s="7"/>
      <c r="N183" s="9"/>
    </row>
    <row r="184" spans="2:14" x14ac:dyDescent="0.35">
      <c r="B184" s="5" t="s">
        <v>266</v>
      </c>
      <c r="C184" s="5" t="s">
        <v>232</v>
      </c>
      <c r="D184" s="7">
        <v>4</v>
      </c>
      <c r="E184" s="17" cm="1">
        <f t="array" aca="1" ref="E184" ca="1">INDIRECT("'"&amp;$C184&amp;"'!"&amp;E$2&amp;MATCH($D184,INDIRECT("'"&amp;$C184&amp;"'!$A:$A"),0))</f>
        <v>0.55556000000000005</v>
      </c>
      <c r="F184" s="17" cm="1">
        <f t="array" aca="1" ref="F184" ca="1">INDIRECT("'"&amp;$C184&amp;"'!"&amp;F$2&amp;MATCH($D184,INDIRECT("'"&amp;$C184&amp;"'!$A:$A"),0))</f>
        <v>0.86956999999999995</v>
      </c>
      <c r="G184" s="17" cm="1">
        <f t="array" aca="1" ref="G184" ca="1">INDIRECT("'"&amp;$C184&amp;"'!"&amp;G$2&amp;MATCH($D184,INDIRECT("'"&amp;$C184&amp;"'!$A:$A"),0))</f>
        <v>0.67796999999999996</v>
      </c>
      <c r="H184" s="17"/>
      <c r="I184" s="6" cm="1">
        <f t="array" aca="1" ref="I184" ca="1">INDIRECT("'"&amp;$C184&amp;"'!"&amp;I$2&amp;MATCH($D184,INDIRECT("'"&amp;$C184&amp;"'!$A:$A"),0))</f>
        <v>23</v>
      </c>
      <c r="J184" s="6" cm="1">
        <f t="array" aca="1" ref="J184" ca="1">INDIRECT("'"&amp;$C184&amp;"'!"&amp;J$2&amp;MATCH($D184,INDIRECT("'"&amp;$C184&amp;"'!$A:$A"),0))</f>
        <v>20</v>
      </c>
      <c r="K184" s="6" cm="1">
        <f t="array" aca="1" ref="K184" ca="1">INDIRECT("'"&amp;$C184&amp;"'!"&amp;K$2&amp;MATCH($D184,INDIRECT("'"&amp;$C184&amp;"'!$A:$A"),0))</f>
        <v>16</v>
      </c>
      <c r="L184" s="6" cm="1">
        <f t="array" aca="1" ref="L184" ca="1">INDIRECT("'"&amp;$C184&amp;"'!"&amp;L$2&amp;MATCH($D184,INDIRECT("'"&amp;$C184&amp;"'!$A:$A"),0))</f>
        <v>3</v>
      </c>
      <c r="M184" s="7"/>
      <c r="N184" s="9"/>
    </row>
    <row r="185" spans="2:14" x14ac:dyDescent="0.35">
      <c r="B185" s="25" t="s">
        <v>267</v>
      </c>
      <c r="C185" s="5" t="s">
        <v>234</v>
      </c>
      <c r="D185" s="7">
        <v>4</v>
      </c>
      <c r="E185" s="17" cm="1">
        <f t="array" aca="1" ref="E185" ca="1">INDIRECT("'"&amp;$C185&amp;"'!"&amp;E$2&amp;MATCH($D185,INDIRECT("'"&amp;$C185&amp;"'!$A:$A"),0))</f>
        <v>0.61765000000000003</v>
      </c>
      <c r="F185" s="17" cm="1">
        <f t="array" aca="1" ref="F185" ca="1">INDIRECT("'"&amp;$C185&amp;"'!"&amp;F$2&amp;MATCH($D185,INDIRECT("'"&amp;$C185&amp;"'!$A:$A"),0))</f>
        <v>0.91303999999999996</v>
      </c>
      <c r="G185" s="17" cm="1">
        <f t="array" aca="1" ref="G185" ca="1">INDIRECT("'"&amp;$C185&amp;"'!"&amp;G$2&amp;MATCH($D185,INDIRECT("'"&amp;$C185&amp;"'!$A:$A"),0))</f>
        <v>0.73684000000000005</v>
      </c>
      <c r="H185" s="17"/>
      <c r="I185" s="6" cm="1">
        <f t="array" aca="1" ref="I185" ca="1">INDIRECT("'"&amp;$C185&amp;"'!"&amp;I$2&amp;MATCH($D185,INDIRECT("'"&amp;$C185&amp;"'!$A:$A"),0))</f>
        <v>23</v>
      </c>
      <c r="J185" s="6" cm="1">
        <f t="array" aca="1" ref="J185" ca="1">INDIRECT("'"&amp;$C185&amp;"'!"&amp;J$2&amp;MATCH($D185,INDIRECT("'"&amp;$C185&amp;"'!$A:$A"),0))</f>
        <v>21</v>
      </c>
      <c r="K185" s="6" cm="1">
        <f t="array" aca="1" ref="K185" ca="1">INDIRECT("'"&amp;$C185&amp;"'!"&amp;K$2&amp;MATCH($D185,INDIRECT("'"&amp;$C185&amp;"'!$A:$A"),0))</f>
        <v>13</v>
      </c>
      <c r="L185" s="6" cm="1">
        <f t="array" aca="1" ref="L185" ca="1">INDIRECT("'"&amp;$C185&amp;"'!"&amp;L$2&amp;MATCH($D185,INDIRECT("'"&amp;$C185&amp;"'!$A:$A"),0))</f>
        <v>2</v>
      </c>
      <c r="M185" s="7"/>
      <c r="N185" s="9"/>
    </row>
    <row r="186" spans="2:14" x14ac:dyDescent="0.35">
      <c r="B186" s="5" t="s">
        <v>270</v>
      </c>
      <c r="C186" s="5" t="s">
        <v>268</v>
      </c>
      <c r="D186" s="7">
        <v>4</v>
      </c>
      <c r="E186" s="17" cm="1">
        <f t="array" aca="1" ref="E186" ca="1">INDIRECT("'"&amp;$C186&amp;"'!"&amp;E$2&amp;MATCH($D186,INDIRECT("'"&amp;$C186&amp;"'!$A:$A"),0))</f>
        <v>0.23863999999999999</v>
      </c>
      <c r="F186" s="17" cm="1">
        <f t="array" aca="1" ref="F186" ca="1">INDIRECT("'"&amp;$C186&amp;"'!"&amp;F$2&amp;MATCH($D186,INDIRECT("'"&amp;$C186&amp;"'!$A:$A"),0))</f>
        <v>0.91303999999999996</v>
      </c>
      <c r="G186" s="17" cm="1">
        <f t="array" aca="1" ref="G186" ca="1">INDIRECT("'"&amp;$C186&amp;"'!"&amp;G$2&amp;MATCH($D186,INDIRECT("'"&amp;$C186&amp;"'!$A:$A"),0))</f>
        <v>0.37837999999999999</v>
      </c>
      <c r="H186" s="17"/>
      <c r="I186" s="6" cm="1">
        <f t="array" aca="1" ref="I186" ca="1">INDIRECT("'"&amp;$C186&amp;"'!"&amp;I$2&amp;MATCH($D186,INDIRECT("'"&amp;$C186&amp;"'!$A:$A"),0))</f>
        <v>23</v>
      </c>
      <c r="J186" s="6" cm="1">
        <f t="array" aca="1" ref="J186" ca="1">INDIRECT("'"&amp;$C186&amp;"'!"&amp;J$2&amp;MATCH($D186,INDIRECT("'"&amp;$C186&amp;"'!$A:$A"),0))</f>
        <v>21</v>
      </c>
      <c r="K186" s="6" cm="1">
        <f t="array" aca="1" ref="K186" ca="1">INDIRECT("'"&amp;$C186&amp;"'!"&amp;K$2&amp;MATCH($D186,INDIRECT("'"&amp;$C186&amp;"'!$A:$A"),0))</f>
        <v>67</v>
      </c>
      <c r="L186" s="6" cm="1">
        <f t="array" aca="1" ref="L186" ca="1">INDIRECT("'"&amp;$C186&amp;"'!"&amp;L$2&amp;MATCH($D186,INDIRECT("'"&amp;$C186&amp;"'!$A:$A"),0))</f>
        <v>2</v>
      </c>
      <c r="M186" s="7"/>
      <c r="N186" s="9"/>
    </row>
    <row r="187" spans="2:14" x14ac:dyDescent="0.35">
      <c r="B187" s="25" t="s">
        <v>271</v>
      </c>
      <c r="C187" s="5" t="s">
        <v>269</v>
      </c>
      <c r="D187" s="7">
        <v>4</v>
      </c>
      <c r="E187" s="17" cm="1">
        <f t="array" aca="1" ref="E187" ca="1">INDIRECT("'"&amp;$C187&amp;"'!"&amp;E$2&amp;MATCH($D187,INDIRECT("'"&amp;$C187&amp;"'!$A:$A"),0))</f>
        <v>0.46666999999999997</v>
      </c>
      <c r="F187" s="17" cm="1">
        <f t="array" aca="1" ref="F187" ca="1">INDIRECT("'"&amp;$C187&amp;"'!"&amp;F$2&amp;MATCH($D187,INDIRECT("'"&amp;$C187&amp;"'!$A:$A"),0))</f>
        <v>0.91303999999999996</v>
      </c>
      <c r="G187" s="17" cm="1">
        <f t="array" aca="1" ref="G187" ca="1">INDIRECT("'"&amp;$C187&amp;"'!"&amp;G$2&amp;MATCH($D187,INDIRECT("'"&amp;$C187&amp;"'!$A:$A"),0))</f>
        <v>0.61765000000000003</v>
      </c>
      <c r="H187" s="17"/>
      <c r="I187" s="6" cm="1">
        <f t="array" aca="1" ref="I187" ca="1">INDIRECT("'"&amp;$C187&amp;"'!"&amp;I$2&amp;MATCH($D187,INDIRECT("'"&amp;$C187&amp;"'!$A:$A"),0))</f>
        <v>23</v>
      </c>
      <c r="J187" s="6" cm="1">
        <f t="array" aca="1" ref="J187" ca="1">INDIRECT("'"&amp;$C187&amp;"'!"&amp;J$2&amp;MATCH($D187,INDIRECT("'"&amp;$C187&amp;"'!$A:$A"),0))</f>
        <v>21</v>
      </c>
      <c r="K187" s="6" cm="1">
        <f t="array" aca="1" ref="K187" ca="1">INDIRECT("'"&amp;$C187&amp;"'!"&amp;K$2&amp;MATCH($D187,INDIRECT("'"&amp;$C187&amp;"'!$A:$A"),0))</f>
        <v>24</v>
      </c>
      <c r="L187" s="6" cm="1">
        <f t="array" aca="1" ref="L187" ca="1">INDIRECT("'"&amp;$C187&amp;"'!"&amp;L$2&amp;MATCH($D187,INDIRECT("'"&amp;$C187&amp;"'!$A:$A"),0))</f>
        <v>2</v>
      </c>
      <c r="M187" s="7"/>
      <c r="N187" s="9"/>
    </row>
    <row r="188" spans="2:14" x14ac:dyDescent="0.35">
      <c r="D188" s="7"/>
      <c r="E188" s="17"/>
      <c r="F188" s="17"/>
      <c r="G188" s="17"/>
      <c r="H188" s="17"/>
      <c r="M188" s="7"/>
      <c r="N188" s="9"/>
    </row>
    <row r="190" spans="2:14" x14ac:dyDescent="0.35">
      <c r="B190" s="24" t="s">
        <v>246</v>
      </c>
      <c r="C190" s="5" t="s">
        <v>249</v>
      </c>
      <c r="D190" s="7">
        <v>5</v>
      </c>
      <c r="E190" s="17" cm="1">
        <f t="array" aca="1" ref="E190" ca="1">INDIRECT("'"&amp;$C190&amp;"'!"&amp;E$2&amp;MATCH($D190,INDIRECT("'"&amp;$C190&amp;"'!$A:$A"),0))</f>
        <v>1</v>
      </c>
      <c r="F190" s="17" cm="1">
        <f t="array" aca="1" ref="F190" ca="1">INDIRECT("'"&amp;$C190&amp;"'!"&amp;F$2&amp;MATCH($D190,INDIRECT("'"&amp;$C190&amp;"'!$A:$A"),0))</f>
        <v>0.92308000000000001</v>
      </c>
      <c r="G190" s="17" cm="1">
        <f t="array" aca="1" ref="G190" ca="1">INDIRECT("'"&amp;$C190&amp;"'!"&amp;G$2&amp;MATCH($D190,INDIRECT("'"&amp;$C190&amp;"'!$A:$A"),0))</f>
        <v>0.96</v>
      </c>
      <c r="H190" s="17"/>
      <c r="I190" s="6" cm="1">
        <f t="array" aca="1" ref="I190" ca="1">INDIRECT("'"&amp;$C190&amp;"'!"&amp;I$2&amp;MATCH($D190,INDIRECT("'"&amp;$C190&amp;"'!$A:$A"),0))</f>
        <v>13</v>
      </c>
      <c r="J190" s="6" cm="1">
        <f t="array" aca="1" ref="J190" ca="1">INDIRECT("'"&amp;$C190&amp;"'!"&amp;J$2&amp;MATCH($D190,INDIRECT("'"&amp;$C190&amp;"'!$A:$A"),0))</f>
        <v>12</v>
      </c>
      <c r="K190" s="6" cm="1">
        <f t="array" aca="1" ref="K190" ca="1">INDIRECT("'"&amp;$C190&amp;"'!"&amp;K$2&amp;MATCH($D190,INDIRECT("'"&amp;$C190&amp;"'!$A:$A"),0))</f>
        <v>0</v>
      </c>
      <c r="L190" s="6" cm="1">
        <f t="array" aca="1" ref="L190" ca="1">INDIRECT("'"&amp;$C190&amp;"'!"&amp;L$2&amp;MATCH($D190,INDIRECT("'"&amp;$C190&amp;"'!$A:$A"),0))</f>
        <v>1</v>
      </c>
    </row>
    <row r="191" spans="2:14" x14ac:dyDescent="0.35">
      <c r="B191" s="25" t="s">
        <v>251</v>
      </c>
      <c r="C191" s="5" t="s">
        <v>250</v>
      </c>
      <c r="D191" s="7">
        <v>5</v>
      </c>
      <c r="E191" s="17" cm="1">
        <f t="array" aca="1" ref="E191" ca="1">INDIRECT("'"&amp;$C191&amp;"'!"&amp;E$2&amp;MATCH($D191,INDIRECT("'"&amp;$C191&amp;"'!$A:$A"),0))</f>
        <v>0.92308000000000001</v>
      </c>
      <c r="F191" s="17" cm="1">
        <f t="array" aca="1" ref="F191" ca="1">INDIRECT("'"&amp;$C191&amp;"'!"&amp;F$2&amp;MATCH($D191,INDIRECT("'"&amp;$C191&amp;"'!$A:$A"),0))</f>
        <v>0.92308000000000001</v>
      </c>
      <c r="G191" s="17" cm="1">
        <f t="array" aca="1" ref="G191" ca="1">INDIRECT("'"&amp;$C191&amp;"'!"&amp;G$2&amp;MATCH($D191,INDIRECT("'"&amp;$C191&amp;"'!$A:$A"),0))</f>
        <v>0.92308000000000001</v>
      </c>
      <c r="H191" s="17"/>
      <c r="I191" s="6" cm="1">
        <f t="array" aca="1" ref="I191" ca="1">INDIRECT("'"&amp;$C191&amp;"'!"&amp;I$2&amp;MATCH($D191,INDIRECT("'"&amp;$C191&amp;"'!$A:$A"),0))</f>
        <v>13</v>
      </c>
      <c r="J191" s="6" cm="1">
        <f t="array" aca="1" ref="J191" ca="1">INDIRECT("'"&amp;$C191&amp;"'!"&amp;J$2&amp;MATCH($D191,INDIRECT("'"&amp;$C191&amp;"'!$A:$A"),0))</f>
        <v>12</v>
      </c>
      <c r="K191" s="6" cm="1">
        <f t="array" aca="1" ref="K191" ca="1">INDIRECT("'"&amp;$C191&amp;"'!"&amp;K$2&amp;MATCH($D191,INDIRECT("'"&amp;$C191&amp;"'!$A:$A"),0))</f>
        <v>1</v>
      </c>
      <c r="L191" s="6" cm="1">
        <f t="array" aca="1" ref="L191" ca="1">INDIRECT("'"&amp;$C191&amp;"'!"&amp;L$2&amp;MATCH($D191,INDIRECT("'"&amp;$C191&amp;"'!$A:$A"),0))</f>
        <v>1</v>
      </c>
    </row>
    <row r="192" spans="2:14" x14ac:dyDescent="0.35">
      <c r="B192" s="5" t="s">
        <v>252</v>
      </c>
      <c r="C192" s="5" t="s">
        <v>221</v>
      </c>
      <c r="D192" s="7">
        <v>5</v>
      </c>
      <c r="E192" s="17" cm="1">
        <f t="array" aca="1" ref="E192" ca="1">INDIRECT("'"&amp;$C192&amp;"'!"&amp;E$2&amp;MATCH($D192,INDIRECT("'"&amp;$C192&amp;"'!$A:$A"),0))</f>
        <v>0.30232999999999999</v>
      </c>
      <c r="F192" s="17" cm="1">
        <f t="array" aca="1" ref="F192" ca="1">INDIRECT("'"&amp;$C192&amp;"'!"&amp;F$2&amp;MATCH($D192,INDIRECT("'"&amp;$C192&amp;"'!$A:$A"),0))</f>
        <v>1</v>
      </c>
      <c r="G192" s="17" cm="1">
        <f t="array" aca="1" ref="G192" ca="1">INDIRECT("'"&amp;$C192&amp;"'!"&amp;G$2&amp;MATCH($D192,INDIRECT("'"&amp;$C192&amp;"'!$A:$A"),0))</f>
        <v>0.46428999999999998</v>
      </c>
      <c r="H192" s="17"/>
      <c r="I192" s="6" cm="1">
        <f t="array" aca="1" ref="I192" ca="1">INDIRECT("'"&amp;$C192&amp;"'!"&amp;I$2&amp;MATCH($D192,INDIRECT("'"&amp;$C192&amp;"'!$A:$A"),0))</f>
        <v>13</v>
      </c>
      <c r="J192" s="6" cm="1">
        <f t="array" aca="1" ref="J192" ca="1">INDIRECT("'"&amp;$C192&amp;"'!"&amp;J$2&amp;MATCH($D192,INDIRECT("'"&amp;$C192&amp;"'!$A:$A"),0))</f>
        <v>13</v>
      </c>
      <c r="K192" s="6" cm="1">
        <f t="array" aca="1" ref="K192" ca="1">INDIRECT("'"&amp;$C192&amp;"'!"&amp;K$2&amp;MATCH($D192,INDIRECT("'"&amp;$C192&amp;"'!$A:$A"),0))</f>
        <v>30</v>
      </c>
      <c r="L192" s="6" cm="1">
        <f t="array" aca="1" ref="L192" ca="1">INDIRECT("'"&amp;$C192&amp;"'!"&amp;L$2&amp;MATCH($D192,INDIRECT("'"&amp;$C192&amp;"'!$A:$A"),0))</f>
        <v>0</v>
      </c>
    </row>
    <row r="193" spans="2:14" x14ac:dyDescent="0.35">
      <c r="B193" s="5" t="s">
        <v>254</v>
      </c>
      <c r="C193" s="5" t="s">
        <v>220</v>
      </c>
      <c r="D193" s="7">
        <v>5</v>
      </c>
      <c r="E193" s="17" cm="1">
        <f t="array" aca="1" ref="E193" ca="1">INDIRECT("'"&amp;$C193&amp;"'!"&amp;E$2&amp;MATCH($D193,INDIRECT("'"&amp;$C193&amp;"'!$A:$A"),0))</f>
        <v>0.26</v>
      </c>
      <c r="F193" s="17" cm="1">
        <f t="array" aca="1" ref="F193" ca="1">INDIRECT("'"&amp;$C193&amp;"'!"&amp;F$2&amp;MATCH($D193,INDIRECT("'"&amp;$C193&amp;"'!$A:$A"),0))</f>
        <v>1</v>
      </c>
      <c r="G193" s="17" cm="1">
        <f t="array" aca="1" ref="G193" ca="1">INDIRECT("'"&amp;$C193&amp;"'!"&amp;G$2&amp;MATCH($D193,INDIRECT("'"&amp;$C193&amp;"'!$A:$A"),0))</f>
        <v>0.41270000000000001</v>
      </c>
      <c r="H193" s="17"/>
      <c r="I193" s="6" cm="1">
        <f t="array" aca="1" ref="I193" ca="1">INDIRECT("'"&amp;$C193&amp;"'!"&amp;I$2&amp;MATCH($D193,INDIRECT("'"&amp;$C193&amp;"'!$A:$A"),0))</f>
        <v>13</v>
      </c>
      <c r="J193" s="6" cm="1">
        <f t="array" aca="1" ref="J193" ca="1">INDIRECT("'"&amp;$C193&amp;"'!"&amp;J$2&amp;MATCH($D193,INDIRECT("'"&amp;$C193&amp;"'!$A:$A"),0))</f>
        <v>13</v>
      </c>
      <c r="K193" s="6" cm="1">
        <f t="array" aca="1" ref="K193" ca="1">INDIRECT("'"&amp;$C193&amp;"'!"&amp;K$2&amp;MATCH($D193,INDIRECT("'"&amp;$C193&amp;"'!$A:$A"),0))</f>
        <v>37</v>
      </c>
      <c r="L193" s="6" cm="1">
        <f t="array" aca="1" ref="L193" ca="1">INDIRECT("'"&amp;$C193&amp;"'!"&amp;L$2&amp;MATCH($D193,INDIRECT("'"&amp;$C193&amp;"'!$A:$A"),0))</f>
        <v>0</v>
      </c>
    </row>
    <row r="194" spans="2:14" x14ac:dyDescent="0.35">
      <c r="B194" s="5" t="s">
        <v>253</v>
      </c>
      <c r="C194" s="5" t="s">
        <v>219</v>
      </c>
      <c r="D194" s="7">
        <v>5</v>
      </c>
      <c r="E194" s="17" cm="1">
        <f t="array" aca="1" ref="E194" ca="1">INDIRECT("'"&amp;$C194&amp;"'!"&amp;E$2&amp;MATCH($D194,INDIRECT("'"&amp;$C194&amp;"'!$A:$A"),0))</f>
        <v>0.59091000000000005</v>
      </c>
      <c r="F194" s="17" cm="1">
        <f t="array" aca="1" ref="F194" ca="1">INDIRECT("'"&amp;$C194&amp;"'!"&amp;F$2&amp;MATCH($D194,INDIRECT("'"&amp;$C194&amp;"'!$A:$A"),0))</f>
        <v>1</v>
      </c>
      <c r="G194" s="17" cm="1">
        <f t="array" aca="1" ref="G194" ca="1">INDIRECT("'"&amp;$C194&amp;"'!"&amp;G$2&amp;MATCH($D194,INDIRECT("'"&amp;$C194&amp;"'!$A:$A"),0))</f>
        <v>0.74285999999999996</v>
      </c>
      <c r="H194" s="17"/>
      <c r="I194" s="6" cm="1">
        <f t="array" aca="1" ref="I194" ca="1">INDIRECT("'"&amp;$C194&amp;"'!"&amp;I$2&amp;MATCH($D194,INDIRECT("'"&amp;$C194&amp;"'!$A:$A"),0))</f>
        <v>13</v>
      </c>
      <c r="J194" s="6" cm="1">
        <f t="array" aca="1" ref="J194" ca="1">INDIRECT("'"&amp;$C194&amp;"'!"&amp;J$2&amp;MATCH($D194,INDIRECT("'"&amp;$C194&amp;"'!$A:$A"),0))</f>
        <v>13</v>
      </c>
      <c r="K194" s="6" cm="1">
        <f t="array" aca="1" ref="K194" ca="1">INDIRECT("'"&amp;$C194&amp;"'!"&amp;K$2&amp;MATCH($D194,INDIRECT("'"&amp;$C194&amp;"'!$A:$A"),0))</f>
        <v>9</v>
      </c>
      <c r="L194" s="6" cm="1">
        <f t="array" aca="1" ref="L194" ca="1">INDIRECT("'"&amp;$C194&amp;"'!"&amp;L$2&amp;MATCH($D194,INDIRECT("'"&amp;$C194&amp;"'!$A:$A"),0))</f>
        <v>0</v>
      </c>
    </row>
    <row r="195" spans="2:14" x14ac:dyDescent="0.35">
      <c r="B195" s="24" t="s">
        <v>259</v>
      </c>
      <c r="C195" s="5" t="s">
        <v>228</v>
      </c>
      <c r="D195" s="7">
        <v>5</v>
      </c>
      <c r="E195" s="17" cm="1">
        <f t="array" aca="1" ref="E195" ca="1">INDIRECT("'"&amp;$C195&amp;"'!"&amp;E$2&amp;MATCH($D195,INDIRECT("'"&amp;$C195&amp;"'!$A:$A"),0))</f>
        <v>0.39394000000000001</v>
      </c>
      <c r="F195" s="17" cm="1">
        <f t="array" aca="1" ref="F195" ca="1">INDIRECT("'"&amp;$C195&amp;"'!"&amp;F$2&amp;MATCH($D195,INDIRECT("'"&amp;$C195&amp;"'!$A:$A"),0))</f>
        <v>1</v>
      </c>
      <c r="G195" s="17" cm="1">
        <f t="array" aca="1" ref="G195" ca="1">INDIRECT("'"&amp;$C195&amp;"'!"&amp;G$2&amp;MATCH($D195,INDIRECT("'"&amp;$C195&amp;"'!$A:$A"),0))</f>
        <v>0.56521999999999994</v>
      </c>
      <c r="H195" s="17"/>
      <c r="I195" s="6" cm="1">
        <f t="array" aca="1" ref="I195" ca="1">INDIRECT("'"&amp;$C195&amp;"'!"&amp;I$2&amp;MATCH($D195,INDIRECT("'"&amp;$C195&amp;"'!$A:$A"),0))</f>
        <v>13</v>
      </c>
      <c r="J195" s="6" cm="1">
        <f t="array" aca="1" ref="J195" ca="1">INDIRECT("'"&amp;$C195&amp;"'!"&amp;J$2&amp;MATCH($D195,INDIRECT("'"&amp;$C195&amp;"'!$A:$A"),0))</f>
        <v>13</v>
      </c>
      <c r="K195" s="6" cm="1">
        <f t="array" aca="1" ref="K195" ca="1">INDIRECT("'"&amp;$C195&amp;"'!"&amp;K$2&amp;MATCH($D195,INDIRECT("'"&amp;$C195&amp;"'!$A:$A"),0))</f>
        <v>20</v>
      </c>
      <c r="L195" s="6" cm="1">
        <f t="array" aca="1" ref="L195" ca="1">INDIRECT("'"&amp;$C195&amp;"'!"&amp;L$2&amp;MATCH($D195,INDIRECT("'"&amp;$C195&amp;"'!$A:$A"),0))</f>
        <v>0</v>
      </c>
    </row>
    <row r="196" spans="2:14" x14ac:dyDescent="0.35">
      <c r="B196" s="5" t="s">
        <v>255</v>
      </c>
      <c r="C196" s="5" t="s">
        <v>218</v>
      </c>
      <c r="D196" s="7">
        <v>5</v>
      </c>
      <c r="E196" s="17" cm="1">
        <f t="array" aca="1" ref="E196" ca="1">INDIRECT("'"&amp;$C196&amp;"'!"&amp;E$2&amp;MATCH($D196,INDIRECT("'"&amp;$C196&amp;"'!$A:$A"),0))</f>
        <v>0.30952000000000002</v>
      </c>
      <c r="F196" s="17" cm="1">
        <f t="array" aca="1" ref="F196" ca="1">INDIRECT("'"&amp;$C196&amp;"'!"&amp;F$2&amp;MATCH($D196,INDIRECT("'"&amp;$C196&amp;"'!$A:$A"),0))</f>
        <v>1</v>
      </c>
      <c r="G196" s="17" cm="1">
        <f t="array" aca="1" ref="G196" ca="1">INDIRECT("'"&amp;$C196&amp;"'!"&amp;G$2&amp;MATCH($D196,INDIRECT("'"&amp;$C196&amp;"'!$A:$A"),0))</f>
        <v>0.47272999999999998</v>
      </c>
      <c r="H196" s="17"/>
      <c r="I196" s="6" cm="1">
        <f t="array" aca="1" ref="I196" ca="1">INDIRECT("'"&amp;$C196&amp;"'!"&amp;I$2&amp;MATCH($D196,INDIRECT("'"&amp;$C196&amp;"'!$A:$A"),0))</f>
        <v>13</v>
      </c>
      <c r="J196" s="6" cm="1">
        <f t="array" aca="1" ref="J196" ca="1">INDIRECT("'"&amp;$C196&amp;"'!"&amp;J$2&amp;MATCH($D196,INDIRECT("'"&amp;$C196&amp;"'!$A:$A"),0))</f>
        <v>13</v>
      </c>
      <c r="K196" s="6" cm="1">
        <f t="array" aca="1" ref="K196" ca="1">INDIRECT("'"&amp;$C196&amp;"'!"&amp;K$2&amp;MATCH($D196,INDIRECT("'"&amp;$C196&amp;"'!$A:$A"),0))</f>
        <v>29</v>
      </c>
      <c r="L196" s="6" cm="1">
        <f t="array" aca="1" ref="L196" ca="1">INDIRECT("'"&amp;$C196&amp;"'!"&amp;L$2&amp;MATCH($D196,INDIRECT("'"&amp;$C196&amp;"'!$A:$A"),0))</f>
        <v>0</v>
      </c>
    </row>
    <row r="197" spans="2:14" x14ac:dyDescent="0.35">
      <c r="B197" s="5" t="s">
        <v>256</v>
      </c>
      <c r="C197" s="5" t="s">
        <v>217</v>
      </c>
      <c r="D197" s="7">
        <v>5</v>
      </c>
      <c r="E197" s="17" cm="1">
        <f t="array" aca="1" ref="E197" ca="1">INDIRECT("'"&amp;$C197&amp;"'!"&amp;E$2&amp;MATCH($D197,INDIRECT("'"&amp;$C197&amp;"'!$A:$A"),0))</f>
        <v>0.56521999999999994</v>
      </c>
      <c r="F197" s="17" cm="1">
        <f t="array" aca="1" ref="F197" ca="1">INDIRECT("'"&amp;$C197&amp;"'!"&amp;F$2&amp;MATCH($D197,INDIRECT("'"&amp;$C197&amp;"'!$A:$A"),0))</f>
        <v>1</v>
      </c>
      <c r="G197" s="17" cm="1">
        <f t="array" aca="1" ref="G197" ca="1">INDIRECT("'"&amp;$C197&amp;"'!"&amp;G$2&amp;MATCH($D197,INDIRECT("'"&amp;$C197&amp;"'!$A:$A"),0))</f>
        <v>0.72221999999999997</v>
      </c>
      <c r="H197" s="17"/>
      <c r="I197" s="6" cm="1">
        <f t="array" aca="1" ref="I197" ca="1">INDIRECT("'"&amp;$C197&amp;"'!"&amp;I$2&amp;MATCH($D197,INDIRECT("'"&amp;$C197&amp;"'!$A:$A"),0))</f>
        <v>13</v>
      </c>
      <c r="J197" s="6" cm="1">
        <f t="array" aca="1" ref="J197" ca="1">INDIRECT("'"&amp;$C197&amp;"'!"&amp;J$2&amp;MATCH($D197,INDIRECT("'"&amp;$C197&amp;"'!$A:$A"),0))</f>
        <v>13</v>
      </c>
      <c r="K197" s="6" cm="1">
        <f t="array" aca="1" ref="K197" ca="1">INDIRECT("'"&amp;$C197&amp;"'!"&amp;K$2&amp;MATCH($D197,INDIRECT("'"&amp;$C197&amp;"'!$A:$A"),0))</f>
        <v>10</v>
      </c>
      <c r="L197" s="6" cm="1">
        <f t="array" aca="1" ref="L197" ca="1">INDIRECT("'"&amp;$C197&amp;"'!"&amp;L$2&amp;MATCH($D197,INDIRECT("'"&amp;$C197&amp;"'!$A:$A"),0))</f>
        <v>0</v>
      </c>
    </row>
    <row r="198" spans="2:14" x14ac:dyDescent="0.35">
      <c r="B198" s="5" t="s">
        <v>257</v>
      </c>
      <c r="C198" s="5" t="s">
        <v>216</v>
      </c>
      <c r="D198" s="7">
        <v>5</v>
      </c>
      <c r="E198" s="17" cm="1">
        <f t="array" aca="1" ref="E198" ca="1">INDIRECT("'"&amp;$C198&amp;"'!"&amp;E$2&amp;MATCH($D198,INDIRECT("'"&amp;$C198&amp;"'!$A:$A"),0))</f>
        <v>0.5</v>
      </c>
      <c r="F198" s="17" cm="1">
        <f t="array" aca="1" ref="F198" ca="1">INDIRECT("'"&amp;$C198&amp;"'!"&amp;F$2&amp;MATCH($D198,INDIRECT("'"&amp;$C198&amp;"'!$A:$A"),0))</f>
        <v>1</v>
      </c>
      <c r="G198" s="17" cm="1">
        <f t="array" aca="1" ref="G198" ca="1">INDIRECT("'"&amp;$C198&amp;"'!"&amp;G$2&amp;MATCH($D198,INDIRECT("'"&amp;$C198&amp;"'!$A:$A"),0))</f>
        <v>0.66666999999999998</v>
      </c>
      <c r="H198" s="17"/>
      <c r="I198" s="6" cm="1">
        <f t="array" aca="1" ref="I198" ca="1">INDIRECT("'"&amp;$C198&amp;"'!"&amp;I$2&amp;MATCH($D198,INDIRECT("'"&amp;$C198&amp;"'!$A:$A"),0))</f>
        <v>13</v>
      </c>
      <c r="J198" s="6" cm="1">
        <f t="array" aca="1" ref="J198" ca="1">INDIRECT("'"&amp;$C198&amp;"'!"&amp;J$2&amp;MATCH($D198,INDIRECT("'"&amp;$C198&amp;"'!$A:$A"),0))</f>
        <v>13</v>
      </c>
      <c r="K198" s="6" cm="1">
        <f t="array" aca="1" ref="K198" ca="1">INDIRECT("'"&amp;$C198&amp;"'!"&amp;K$2&amp;MATCH($D198,INDIRECT("'"&amp;$C198&amp;"'!$A:$A"),0))</f>
        <v>13</v>
      </c>
      <c r="L198" s="6" cm="1">
        <f t="array" aca="1" ref="L198" ca="1">INDIRECT("'"&amp;$C198&amp;"'!"&amp;L$2&amp;MATCH($D198,INDIRECT("'"&amp;$C198&amp;"'!$A:$A"),0))</f>
        <v>0</v>
      </c>
    </row>
    <row r="199" spans="2:14" x14ac:dyDescent="0.35">
      <c r="B199" s="5" t="s">
        <v>258</v>
      </c>
      <c r="C199" s="5" t="s">
        <v>227</v>
      </c>
      <c r="D199" s="7">
        <v>5</v>
      </c>
      <c r="E199" s="17" cm="1">
        <f t="array" aca="1" ref="E199" ca="1">INDIRECT("'"&amp;$C199&amp;"'!"&amp;E$2&amp;MATCH($D199,INDIRECT("'"&amp;$C199&amp;"'!$A:$A"),0))</f>
        <v>0.375</v>
      </c>
      <c r="F199" s="17" cm="1">
        <f t="array" aca="1" ref="F199" ca="1">INDIRECT("'"&amp;$C199&amp;"'!"&amp;F$2&amp;MATCH($D199,INDIRECT("'"&amp;$C199&amp;"'!$A:$A"),0))</f>
        <v>0.92308000000000001</v>
      </c>
      <c r="G199" s="17" cm="1">
        <f t="array" aca="1" ref="G199" ca="1">INDIRECT("'"&amp;$C199&amp;"'!"&amp;G$2&amp;MATCH($D199,INDIRECT("'"&amp;$C199&amp;"'!$A:$A"),0))</f>
        <v>0.53332999999999997</v>
      </c>
      <c r="H199" s="17"/>
      <c r="I199" s="6" cm="1">
        <f t="array" aca="1" ref="I199" ca="1">INDIRECT("'"&amp;$C199&amp;"'!"&amp;I$2&amp;MATCH($D199,INDIRECT("'"&amp;$C199&amp;"'!$A:$A"),0))</f>
        <v>13</v>
      </c>
      <c r="J199" s="6" cm="1">
        <f t="array" aca="1" ref="J199" ca="1">INDIRECT("'"&amp;$C199&amp;"'!"&amp;J$2&amp;MATCH($D199,INDIRECT("'"&amp;$C199&amp;"'!$A:$A"),0))</f>
        <v>12</v>
      </c>
      <c r="K199" s="6" cm="1">
        <f t="array" aca="1" ref="K199" ca="1">INDIRECT("'"&amp;$C199&amp;"'!"&amp;K$2&amp;MATCH($D199,INDIRECT("'"&amp;$C199&amp;"'!$A:$A"),0))</f>
        <v>20</v>
      </c>
      <c r="L199" s="6" cm="1">
        <f t="array" aca="1" ref="L199" ca="1">INDIRECT("'"&amp;$C199&amp;"'!"&amp;L$2&amp;MATCH($D199,INDIRECT("'"&amp;$C199&amp;"'!$A:$A"),0))</f>
        <v>1</v>
      </c>
    </row>
    <row r="200" spans="2:14" x14ac:dyDescent="0.35">
      <c r="B200" s="25" t="s">
        <v>260</v>
      </c>
      <c r="C200" s="5" t="s">
        <v>247</v>
      </c>
      <c r="D200" s="7">
        <v>5</v>
      </c>
      <c r="E200" s="17" cm="1">
        <f t="array" aca="1" ref="E200" ca="1">INDIRECT("'"&amp;$C200&amp;"'!"&amp;E$2&amp;MATCH($D200,INDIRECT("'"&amp;$C200&amp;"'!$A:$A"),0))</f>
        <v>1</v>
      </c>
      <c r="F200" s="17" cm="1">
        <f t="array" aca="1" ref="F200" ca="1">INDIRECT("'"&amp;$C200&amp;"'!"&amp;F$2&amp;MATCH($D200,INDIRECT("'"&amp;$C200&amp;"'!$A:$A"),0))</f>
        <v>0.92308000000000001</v>
      </c>
      <c r="G200" s="17" cm="1">
        <f t="array" aca="1" ref="G200" ca="1">INDIRECT("'"&amp;$C200&amp;"'!"&amp;G$2&amp;MATCH($D200,INDIRECT("'"&amp;$C200&amp;"'!$A:$A"),0))</f>
        <v>0.96</v>
      </c>
      <c r="H200" s="17"/>
      <c r="I200" s="6" cm="1">
        <f t="array" aca="1" ref="I200" ca="1">INDIRECT("'"&amp;$C200&amp;"'!"&amp;I$2&amp;MATCH($D200,INDIRECT("'"&amp;$C200&amp;"'!$A:$A"),0))</f>
        <v>13</v>
      </c>
      <c r="J200" s="6" cm="1">
        <f t="array" aca="1" ref="J200" ca="1">INDIRECT("'"&amp;$C200&amp;"'!"&amp;J$2&amp;MATCH($D200,INDIRECT("'"&amp;$C200&amp;"'!$A:$A"),0))</f>
        <v>12</v>
      </c>
      <c r="K200" s="6" cm="1">
        <f t="array" aca="1" ref="K200" ca="1">INDIRECT("'"&amp;$C200&amp;"'!"&amp;K$2&amp;MATCH($D200,INDIRECT("'"&amp;$C200&amp;"'!$A:$A"),0))</f>
        <v>0</v>
      </c>
      <c r="L200" s="6" cm="1">
        <f t="array" aca="1" ref="L200" ca="1">INDIRECT("'"&amp;$C200&amp;"'!"&amp;L$2&amp;MATCH($D200,INDIRECT("'"&amp;$C200&amp;"'!$A:$A"),0))</f>
        <v>1</v>
      </c>
    </row>
    <row r="201" spans="2:14" x14ac:dyDescent="0.35">
      <c r="B201" s="25" t="s">
        <v>261</v>
      </c>
      <c r="C201" s="5" t="s">
        <v>248</v>
      </c>
      <c r="D201" s="7">
        <v>5</v>
      </c>
      <c r="E201" s="17" cm="1">
        <f t="array" aca="1" ref="E201" ca="1">INDIRECT("'"&amp;$C201&amp;"'!"&amp;E$2&amp;MATCH($D201,INDIRECT("'"&amp;$C201&amp;"'!$A:$A"),0))</f>
        <v>0.84614999999999996</v>
      </c>
      <c r="F201" s="17" cm="1">
        <f t="array" aca="1" ref="F201" ca="1">INDIRECT("'"&amp;$C201&amp;"'!"&amp;F$2&amp;MATCH($D201,INDIRECT("'"&amp;$C201&amp;"'!$A:$A"),0))</f>
        <v>0.84614999999999996</v>
      </c>
      <c r="G201" s="17" cm="1">
        <f t="array" aca="1" ref="G201" ca="1">INDIRECT("'"&amp;$C201&amp;"'!"&amp;G$2&amp;MATCH($D201,INDIRECT("'"&amp;$C201&amp;"'!$A:$A"),0))</f>
        <v>0.84614999999999996</v>
      </c>
      <c r="H201" s="17"/>
      <c r="I201" s="6" cm="1">
        <f t="array" aca="1" ref="I201" ca="1">INDIRECT("'"&amp;$C201&amp;"'!"&amp;I$2&amp;MATCH($D201,INDIRECT("'"&amp;$C201&amp;"'!$A:$A"),0))</f>
        <v>13</v>
      </c>
      <c r="J201" s="6" cm="1">
        <f t="array" aca="1" ref="J201" ca="1">INDIRECT("'"&amp;$C201&amp;"'!"&amp;J$2&amp;MATCH($D201,INDIRECT("'"&amp;$C201&amp;"'!$A:$A"),0))</f>
        <v>11</v>
      </c>
      <c r="K201" s="6" cm="1">
        <f t="array" aca="1" ref="K201" ca="1">INDIRECT("'"&amp;$C201&amp;"'!"&amp;K$2&amp;MATCH($D201,INDIRECT("'"&amp;$C201&amp;"'!$A:$A"),0))</f>
        <v>2</v>
      </c>
      <c r="L201" s="6" cm="1">
        <f t="array" aca="1" ref="L201" ca="1">INDIRECT("'"&amp;$C201&amp;"'!"&amp;L$2&amp;MATCH($D201,INDIRECT("'"&amp;$C201&amp;"'!$A:$A"),0))</f>
        <v>2</v>
      </c>
    </row>
    <row r="202" spans="2:14" x14ac:dyDescent="0.35">
      <c r="B202" s="5" t="s">
        <v>282</v>
      </c>
      <c r="C202" s="5" t="s">
        <v>285</v>
      </c>
      <c r="D202" s="7">
        <v>5</v>
      </c>
      <c r="E202" s="17" cm="1">
        <f t="array" aca="1" ref="E202" ca="1">INDIRECT("'"&amp;$C202&amp;"'!"&amp;E$2&amp;MATCH($D202,INDIRECT("'"&amp;$C202&amp;"'!$A:$A"),0))</f>
        <v>0.66666999999999998</v>
      </c>
      <c r="F202" s="17" cm="1">
        <f t="array" aca="1" ref="F202" ca="1">INDIRECT("'"&amp;$C202&amp;"'!"&amp;F$2&amp;MATCH($D202,INDIRECT("'"&amp;$C202&amp;"'!$A:$A"),0))</f>
        <v>0.92308000000000001</v>
      </c>
      <c r="G202" s="17" cm="1">
        <f t="array" aca="1" ref="G202" ca="1">INDIRECT("'"&amp;$C202&amp;"'!"&amp;G$2&amp;MATCH($D202,INDIRECT("'"&amp;$C202&amp;"'!$A:$A"),0))</f>
        <v>0.77419000000000004</v>
      </c>
      <c r="H202" s="17"/>
      <c r="I202" s="6" cm="1">
        <f t="array" aca="1" ref="I202" ca="1">INDIRECT("'"&amp;$C202&amp;"'!"&amp;I$2&amp;MATCH($D202,INDIRECT("'"&amp;$C202&amp;"'!$A:$A"),0))</f>
        <v>13</v>
      </c>
      <c r="J202" s="6" cm="1">
        <f t="array" aca="1" ref="J202" ca="1">INDIRECT("'"&amp;$C202&amp;"'!"&amp;J$2&amp;MATCH($D202,INDIRECT("'"&amp;$C202&amp;"'!$A:$A"),0))</f>
        <v>12</v>
      </c>
      <c r="K202" s="6" cm="1">
        <f t="array" aca="1" ref="K202" ca="1">INDIRECT("'"&amp;$C202&amp;"'!"&amp;K$2&amp;MATCH($D202,INDIRECT("'"&amp;$C202&amp;"'!$A:$A"),0))</f>
        <v>6</v>
      </c>
      <c r="L202" s="6" cm="1">
        <f t="array" aca="1" ref="L202" ca="1">INDIRECT("'"&amp;$C202&amp;"'!"&amp;L$2&amp;MATCH($D202,INDIRECT("'"&amp;$C202&amp;"'!$A:$A"),0))</f>
        <v>1</v>
      </c>
    </row>
    <row r="203" spans="2:14" x14ac:dyDescent="0.35">
      <c r="B203" s="5" t="s">
        <v>283</v>
      </c>
      <c r="C203" s="5" t="s">
        <v>286</v>
      </c>
      <c r="D203" s="7">
        <v>5</v>
      </c>
      <c r="E203" s="17" cm="1">
        <f t="array" aca="1" ref="E203" ca="1">INDIRECT("'"&amp;$C203&amp;"'!"&amp;E$2&amp;MATCH($D203,INDIRECT("'"&amp;$C203&amp;"'!$A:$A"),0))</f>
        <v>0.28260999999999997</v>
      </c>
      <c r="F203" s="17" cm="1">
        <f t="array" aca="1" ref="F203" ca="1">INDIRECT("'"&amp;$C203&amp;"'!"&amp;F$2&amp;MATCH($D203,INDIRECT("'"&amp;$C203&amp;"'!$A:$A"),0))</f>
        <v>1</v>
      </c>
      <c r="G203" s="17" cm="1">
        <f t="array" aca="1" ref="G203" ca="1">INDIRECT("'"&amp;$C203&amp;"'!"&amp;G$2&amp;MATCH($D203,INDIRECT("'"&amp;$C203&amp;"'!$A:$A"),0))</f>
        <v>0.44068000000000002</v>
      </c>
      <c r="H203" s="17"/>
      <c r="I203" s="6" cm="1">
        <f t="array" aca="1" ref="I203" ca="1">INDIRECT("'"&amp;$C203&amp;"'!"&amp;I$2&amp;MATCH($D203,INDIRECT("'"&amp;$C203&amp;"'!$A:$A"),0))</f>
        <v>13</v>
      </c>
      <c r="J203" s="6" cm="1">
        <f t="array" aca="1" ref="J203" ca="1">INDIRECT("'"&amp;$C203&amp;"'!"&amp;J$2&amp;MATCH($D203,INDIRECT("'"&amp;$C203&amp;"'!$A:$A"),0))</f>
        <v>13</v>
      </c>
      <c r="K203" s="6" cm="1">
        <f t="array" aca="1" ref="K203" ca="1">INDIRECT("'"&amp;$C203&amp;"'!"&amp;K$2&amp;MATCH($D203,INDIRECT("'"&amp;$C203&amp;"'!$A:$A"),0))</f>
        <v>33</v>
      </c>
      <c r="L203" s="6" cm="1">
        <f t="array" aca="1" ref="L203" ca="1">INDIRECT("'"&amp;$C203&amp;"'!"&amp;L$2&amp;MATCH($D203,INDIRECT("'"&amp;$C203&amp;"'!$A:$A"),0))</f>
        <v>0</v>
      </c>
    </row>
    <row r="204" spans="2:14" x14ac:dyDescent="0.35">
      <c r="B204" s="5" t="s">
        <v>284</v>
      </c>
      <c r="C204" s="5" t="s">
        <v>287</v>
      </c>
      <c r="D204" s="7">
        <v>5</v>
      </c>
      <c r="E204" s="17" cm="1">
        <f t="array" aca="1" ref="E204" ca="1">INDIRECT("'"&amp;$C204&amp;"'!"&amp;E$2&amp;MATCH($D204,INDIRECT("'"&amp;$C204&amp;"'!$A:$A"),0))</f>
        <v>0.8</v>
      </c>
      <c r="F204" s="17" cm="1">
        <f t="array" aca="1" ref="F204" ca="1">INDIRECT("'"&amp;$C204&amp;"'!"&amp;F$2&amp;MATCH($D204,INDIRECT("'"&amp;$C204&amp;"'!$A:$A"),0))</f>
        <v>0.92308000000000001</v>
      </c>
      <c r="G204" s="17" cm="1">
        <f t="array" aca="1" ref="G204" ca="1">INDIRECT("'"&amp;$C204&amp;"'!"&amp;G$2&amp;MATCH($D204,INDIRECT("'"&amp;$C204&amp;"'!$A:$A"),0))</f>
        <v>0.85714000000000001</v>
      </c>
      <c r="H204" s="17"/>
      <c r="I204" s="6" cm="1">
        <f t="array" aca="1" ref="I204" ca="1">INDIRECT("'"&amp;$C204&amp;"'!"&amp;I$2&amp;MATCH($D204,INDIRECT("'"&amp;$C204&amp;"'!$A:$A"),0))</f>
        <v>13</v>
      </c>
      <c r="J204" s="6" cm="1">
        <f t="array" aca="1" ref="J204" ca="1">INDIRECT("'"&amp;$C204&amp;"'!"&amp;J$2&amp;MATCH($D204,INDIRECT("'"&amp;$C204&amp;"'!$A:$A"),0))</f>
        <v>12</v>
      </c>
      <c r="K204" s="6" cm="1">
        <f t="array" aca="1" ref="K204" ca="1">INDIRECT("'"&amp;$C204&amp;"'!"&amp;K$2&amp;MATCH($D204,INDIRECT("'"&amp;$C204&amp;"'!$A:$A"),0))</f>
        <v>3</v>
      </c>
      <c r="L204" s="6" cm="1">
        <f t="array" aca="1" ref="L204" ca="1">INDIRECT("'"&amp;$C204&amp;"'!"&amp;L$2&amp;MATCH($D204,INDIRECT("'"&amp;$C204&amp;"'!$A:$A"),0))</f>
        <v>1</v>
      </c>
    </row>
    <row r="205" spans="2:14" x14ac:dyDescent="0.35">
      <c r="B205" s="5" t="s">
        <v>262</v>
      </c>
      <c r="C205" s="5" t="s">
        <v>222</v>
      </c>
      <c r="D205" s="7">
        <v>5</v>
      </c>
      <c r="E205" s="17" cm="1">
        <f t="array" aca="1" ref="E205" ca="1">INDIRECT("'"&amp;$C205&amp;"'!"&amp;E$2&amp;MATCH($D205,INDIRECT("'"&amp;$C205&amp;"'!$A:$A"),0))</f>
        <v>0.48148000000000002</v>
      </c>
      <c r="F205" s="17" cm="1">
        <f t="array" aca="1" ref="F205" ca="1">INDIRECT("'"&amp;$C205&amp;"'!"&amp;F$2&amp;MATCH($D205,INDIRECT("'"&amp;$C205&amp;"'!$A:$A"),0))</f>
        <v>1</v>
      </c>
      <c r="G205" s="17" cm="1">
        <f t="array" aca="1" ref="G205" ca="1">INDIRECT("'"&amp;$C205&amp;"'!"&amp;G$2&amp;MATCH($D205,INDIRECT("'"&amp;$C205&amp;"'!$A:$A"),0))</f>
        <v>0.65</v>
      </c>
      <c r="H205" s="17"/>
      <c r="I205" s="6" cm="1">
        <f t="array" aca="1" ref="I205" ca="1">INDIRECT("'"&amp;$C205&amp;"'!"&amp;I$2&amp;MATCH($D205,INDIRECT("'"&amp;$C205&amp;"'!$A:$A"),0))</f>
        <v>13</v>
      </c>
      <c r="J205" s="6" cm="1">
        <f t="array" aca="1" ref="J205" ca="1">INDIRECT("'"&amp;$C205&amp;"'!"&amp;J$2&amp;MATCH($D205,INDIRECT("'"&amp;$C205&amp;"'!$A:$A"),0))</f>
        <v>13</v>
      </c>
      <c r="K205" s="6" cm="1">
        <f t="array" aca="1" ref="K205" ca="1">INDIRECT("'"&amp;$C205&amp;"'!"&amp;K$2&amp;MATCH($D205,INDIRECT("'"&amp;$C205&amp;"'!$A:$A"),0))</f>
        <v>14</v>
      </c>
      <c r="L205" s="6" cm="1">
        <f t="array" aca="1" ref="L205" ca="1">INDIRECT("'"&amp;$C205&amp;"'!"&amp;L$2&amp;MATCH($D205,INDIRECT("'"&amp;$C205&amp;"'!$A:$A"),0))</f>
        <v>0</v>
      </c>
    </row>
    <row r="206" spans="2:14" x14ac:dyDescent="0.35">
      <c r="B206" s="5" t="s">
        <v>263</v>
      </c>
      <c r="C206" s="5" t="s">
        <v>223</v>
      </c>
      <c r="D206" s="7">
        <v>5</v>
      </c>
      <c r="E206" s="17" cm="1">
        <f t="array" aca="1" ref="E206" ca="1">INDIRECT("'"&amp;$C206&amp;"'!"&amp;E$2&amp;MATCH($D206,INDIRECT("'"&amp;$C206&amp;"'!$A:$A"),0))</f>
        <v>0.54544999999999999</v>
      </c>
      <c r="F206" s="17" cm="1">
        <f t="array" aca="1" ref="F206" ca="1">INDIRECT("'"&amp;$C206&amp;"'!"&amp;F$2&amp;MATCH($D206,INDIRECT("'"&amp;$C206&amp;"'!$A:$A"),0))</f>
        <v>0.92308000000000001</v>
      </c>
      <c r="G206" s="17" cm="1">
        <f t="array" aca="1" ref="G206" ca="1">INDIRECT("'"&amp;$C206&amp;"'!"&amp;G$2&amp;MATCH($D206,INDIRECT("'"&amp;$C206&amp;"'!$A:$A"),0))</f>
        <v>0.68571000000000004</v>
      </c>
      <c r="H206" s="17"/>
      <c r="I206" s="6" cm="1">
        <f t="array" aca="1" ref="I206" ca="1">INDIRECT("'"&amp;$C206&amp;"'!"&amp;I$2&amp;MATCH($D206,INDIRECT("'"&amp;$C206&amp;"'!$A:$A"),0))</f>
        <v>13</v>
      </c>
      <c r="J206" s="6" cm="1">
        <f t="array" aca="1" ref="J206" ca="1">INDIRECT("'"&amp;$C206&amp;"'!"&amp;J$2&amp;MATCH($D206,INDIRECT("'"&amp;$C206&amp;"'!$A:$A"),0))</f>
        <v>12</v>
      </c>
      <c r="K206" s="6" cm="1">
        <f t="array" aca="1" ref="K206" ca="1">INDIRECT("'"&amp;$C206&amp;"'!"&amp;K$2&amp;MATCH($D206,INDIRECT("'"&amp;$C206&amp;"'!$A:$A"),0))</f>
        <v>10</v>
      </c>
      <c r="L206" s="6" cm="1">
        <f t="array" aca="1" ref="L206" ca="1">INDIRECT("'"&amp;$C206&amp;"'!"&amp;L$2&amp;MATCH($D206,INDIRECT("'"&amp;$C206&amp;"'!$A:$A"),0))</f>
        <v>1</v>
      </c>
    </row>
    <row r="207" spans="2:14" x14ac:dyDescent="0.35">
      <c r="B207" s="24" t="s">
        <v>264</v>
      </c>
      <c r="C207" s="5" t="s">
        <v>224</v>
      </c>
      <c r="D207" s="7">
        <v>5</v>
      </c>
      <c r="E207" s="17" cm="1">
        <f t="array" aca="1" ref="E207" ca="1">INDIRECT("'"&amp;$C207&amp;"'!"&amp;E$2&amp;MATCH($D207,INDIRECT("'"&amp;$C207&amp;"'!$A:$A"),0))</f>
        <v>0.65</v>
      </c>
      <c r="F207" s="17" cm="1">
        <f t="array" aca="1" ref="F207" ca="1">INDIRECT("'"&amp;$C207&amp;"'!"&amp;F$2&amp;MATCH($D207,INDIRECT("'"&amp;$C207&amp;"'!$A:$A"),0))</f>
        <v>1</v>
      </c>
      <c r="G207" s="17" cm="1">
        <f t="array" aca="1" ref="G207" ca="1">INDIRECT("'"&amp;$C207&amp;"'!"&amp;G$2&amp;MATCH($D207,INDIRECT("'"&amp;$C207&amp;"'!$A:$A"),0))</f>
        <v>0.78788000000000002</v>
      </c>
      <c r="H207" s="17"/>
      <c r="I207" s="6" cm="1">
        <f t="array" aca="1" ref="I207" ca="1">INDIRECT("'"&amp;$C207&amp;"'!"&amp;I$2&amp;MATCH($D207,INDIRECT("'"&amp;$C207&amp;"'!$A:$A"),0))</f>
        <v>13</v>
      </c>
      <c r="J207" s="6" cm="1">
        <f t="array" aca="1" ref="J207" ca="1">INDIRECT("'"&amp;$C207&amp;"'!"&amp;J$2&amp;MATCH($D207,INDIRECT("'"&amp;$C207&amp;"'!$A:$A"),0))</f>
        <v>13</v>
      </c>
      <c r="K207" s="6" cm="1">
        <f t="array" aca="1" ref="K207" ca="1">INDIRECT("'"&amp;$C207&amp;"'!"&amp;K$2&amp;MATCH($D207,INDIRECT("'"&amp;$C207&amp;"'!$A:$A"),0))</f>
        <v>7</v>
      </c>
      <c r="L207" s="6" cm="1">
        <f t="array" aca="1" ref="L207" ca="1">INDIRECT("'"&amp;$C207&amp;"'!"&amp;L$2&amp;MATCH($D207,INDIRECT("'"&amp;$C207&amp;"'!$A:$A"),0))</f>
        <v>0</v>
      </c>
      <c r="M207" s="7"/>
      <c r="N207" s="9"/>
    </row>
    <row r="208" spans="2:14" x14ac:dyDescent="0.35">
      <c r="B208" s="5" t="s">
        <v>265</v>
      </c>
      <c r="C208" s="5" t="s">
        <v>233</v>
      </c>
      <c r="D208" s="7">
        <v>5</v>
      </c>
      <c r="E208" s="17" cm="1">
        <f t="array" aca="1" ref="E208" ca="1">INDIRECT("'"&amp;$C208&amp;"'!"&amp;E$2&amp;MATCH($D208,INDIRECT("'"&amp;$C208&amp;"'!$A:$A"),0))</f>
        <v>0.56521999999999994</v>
      </c>
      <c r="F208" s="17" cm="1">
        <f t="array" aca="1" ref="F208" ca="1">INDIRECT("'"&amp;$C208&amp;"'!"&amp;F$2&amp;MATCH($D208,INDIRECT("'"&amp;$C208&amp;"'!$A:$A"),0))</f>
        <v>1</v>
      </c>
      <c r="G208" s="17" cm="1">
        <f t="array" aca="1" ref="G208" ca="1">INDIRECT("'"&amp;$C208&amp;"'!"&amp;G$2&amp;MATCH($D208,INDIRECT("'"&amp;$C208&amp;"'!$A:$A"),0))</f>
        <v>0.72221999999999997</v>
      </c>
      <c r="H208" s="17"/>
      <c r="I208" s="6" cm="1">
        <f t="array" aca="1" ref="I208" ca="1">INDIRECT("'"&amp;$C208&amp;"'!"&amp;I$2&amp;MATCH($D208,INDIRECT("'"&amp;$C208&amp;"'!$A:$A"),0))</f>
        <v>13</v>
      </c>
      <c r="J208" s="6" cm="1">
        <f t="array" aca="1" ref="J208" ca="1">INDIRECT("'"&amp;$C208&amp;"'!"&amp;J$2&amp;MATCH($D208,INDIRECT("'"&amp;$C208&amp;"'!$A:$A"),0))</f>
        <v>13</v>
      </c>
      <c r="K208" s="6" cm="1">
        <f t="array" aca="1" ref="K208" ca="1">INDIRECT("'"&amp;$C208&amp;"'!"&amp;K$2&amp;MATCH($D208,INDIRECT("'"&amp;$C208&amp;"'!$A:$A"),0))</f>
        <v>10</v>
      </c>
      <c r="L208" s="6" cm="1">
        <f t="array" aca="1" ref="L208" ca="1">INDIRECT("'"&amp;$C208&amp;"'!"&amp;L$2&amp;MATCH($D208,INDIRECT("'"&amp;$C208&amp;"'!$A:$A"),0))</f>
        <v>0</v>
      </c>
      <c r="M208" s="7"/>
      <c r="N208" s="9"/>
    </row>
    <row r="209" spans="2:19" x14ac:dyDescent="0.35">
      <c r="B209" s="5" t="s">
        <v>266</v>
      </c>
      <c r="C209" s="5" t="s">
        <v>232</v>
      </c>
      <c r="D209" s="7">
        <v>5</v>
      </c>
      <c r="E209" s="17" cm="1">
        <f t="array" aca="1" ref="E209" ca="1">INDIRECT("'"&amp;$C209&amp;"'!"&amp;E$2&amp;MATCH($D209,INDIRECT("'"&amp;$C209&amp;"'!$A:$A"),0))</f>
        <v>0.92308000000000001</v>
      </c>
      <c r="F209" s="17" cm="1">
        <f t="array" aca="1" ref="F209" ca="1">INDIRECT("'"&amp;$C209&amp;"'!"&amp;F$2&amp;MATCH($D209,INDIRECT("'"&amp;$C209&amp;"'!$A:$A"),0))</f>
        <v>0.92308000000000001</v>
      </c>
      <c r="G209" s="17" cm="1">
        <f t="array" aca="1" ref="G209" ca="1">INDIRECT("'"&amp;$C209&amp;"'!"&amp;G$2&amp;MATCH($D209,INDIRECT("'"&amp;$C209&amp;"'!$A:$A"),0))</f>
        <v>0.92308000000000001</v>
      </c>
      <c r="H209" s="17"/>
      <c r="I209" s="6" cm="1">
        <f t="array" aca="1" ref="I209" ca="1">INDIRECT("'"&amp;$C209&amp;"'!"&amp;I$2&amp;MATCH($D209,INDIRECT("'"&amp;$C209&amp;"'!$A:$A"),0))</f>
        <v>13</v>
      </c>
      <c r="J209" s="6" cm="1">
        <f t="array" aca="1" ref="J209" ca="1">INDIRECT("'"&amp;$C209&amp;"'!"&amp;J$2&amp;MATCH($D209,INDIRECT("'"&amp;$C209&amp;"'!$A:$A"),0))</f>
        <v>12</v>
      </c>
      <c r="K209" s="6" cm="1">
        <f t="array" aca="1" ref="K209" ca="1">INDIRECT("'"&amp;$C209&amp;"'!"&amp;K$2&amp;MATCH($D209,INDIRECT("'"&amp;$C209&amp;"'!$A:$A"),0))</f>
        <v>1</v>
      </c>
      <c r="L209" s="6" cm="1">
        <f t="array" aca="1" ref="L209" ca="1">INDIRECT("'"&amp;$C209&amp;"'!"&amp;L$2&amp;MATCH($D209,INDIRECT("'"&amp;$C209&amp;"'!$A:$A"),0))</f>
        <v>1</v>
      </c>
      <c r="M209" s="7"/>
      <c r="N209" s="9"/>
    </row>
    <row r="210" spans="2:19" x14ac:dyDescent="0.35">
      <c r="B210" s="25" t="s">
        <v>267</v>
      </c>
      <c r="C210" s="5" t="s">
        <v>234</v>
      </c>
      <c r="D210" s="7">
        <v>5</v>
      </c>
      <c r="E210" s="17" cm="1">
        <f t="array" aca="1" ref="E210" ca="1">INDIRECT("'"&amp;$C210&amp;"'!"&amp;E$2&amp;MATCH($D210,INDIRECT("'"&amp;$C210&amp;"'!$A:$A"),0))</f>
        <v>0.85714000000000001</v>
      </c>
      <c r="F210" s="17" cm="1">
        <f t="array" aca="1" ref="F210" ca="1">INDIRECT("'"&amp;$C210&amp;"'!"&amp;F$2&amp;MATCH($D210,INDIRECT("'"&amp;$C210&amp;"'!$A:$A"),0))</f>
        <v>0.92308000000000001</v>
      </c>
      <c r="G210" s="17" cm="1">
        <f t="array" aca="1" ref="G210" ca="1">INDIRECT("'"&amp;$C210&amp;"'!"&amp;G$2&amp;MATCH($D210,INDIRECT("'"&amp;$C210&amp;"'!$A:$A"),0))</f>
        <v>0.88888999999999996</v>
      </c>
      <c r="H210" s="17"/>
      <c r="I210" s="6" cm="1">
        <f t="array" aca="1" ref="I210" ca="1">INDIRECT("'"&amp;$C210&amp;"'!"&amp;I$2&amp;MATCH($D210,INDIRECT("'"&amp;$C210&amp;"'!$A:$A"),0))</f>
        <v>13</v>
      </c>
      <c r="J210" s="6" cm="1">
        <f t="array" aca="1" ref="J210" ca="1">INDIRECT("'"&amp;$C210&amp;"'!"&amp;J$2&amp;MATCH($D210,INDIRECT("'"&amp;$C210&amp;"'!$A:$A"),0))</f>
        <v>12</v>
      </c>
      <c r="K210" s="6" cm="1">
        <f t="array" aca="1" ref="K210" ca="1">INDIRECT("'"&amp;$C210&amp;"'!"&amp;K$2&amp;MATCH($D210,INDIRECT("'"&amp;$C210&amp;"'!$A:$A"),0))</f>
        <v>2</v>
      </c>
      <c r="L210" s="6" cm="1">
        <f t="array" aca="1" ref="L210" ca="1">INDIRECT("'"&amp;$C210&amp;"'!"&amp;L$2&amp;MATCH($D210,INDIRECT("'"&amp;$C210&amp;"'!$A:$A"),0))</f>
        <v>1</v>
      </c>
      <c r="M210" s="7"/>
      <c r="N210" s="9"/>
    </row>
    <row r="211" spans="2:19" x14ac:dyDescent="0.35">
      <c r="B211" s="5" t="s">
        <v>270</v>
      </c>
      <c r="C211" s="5" t="s">
        <v>268</v>
      </c>
      <c r="D211" s="7">
        <v>5</v>
      </c>
      <c r="E211" s="17" cm="1">
        <f t="array" aca="1" ref="E211" ca="1">INDIRECT("'"&amp;$C211&amp;"'!"&amp;E$2&amp;MATCH($D211,INDIRECT("'"&amp;$C211&amp;"'!$A:$A"),0))</f>
        <v>0.30952000000000002</v>
      </c>
      <c r="F211" s="17" cm="1">
        <f t="array" aca="1" ref="F211" ca="1">INDIRECT("'"&amp;$C211&amp;"'!"&amp;F$2&amp;MATCH($D211,INDIRECT("'"&amp;$C211&amp;"'!$A:$A"),0))</f>
        <v>1</v>
      </c>
      <c r="G211" s="17" cm="1">
        <f t="array" aca="1" ref="G211" ca="1">INDIRECT("'"&amp;$C211&amp;"'!"&amp;G$2&amp;MATCH($D211,INDIRECT("'"&amp;$C211&amp;"'!$A:$A"),0))</f>
        <v>0.47272999999999998</v>
      </c>
      <c r="H211" s="17"/>
      <c r="I211" s="6" cm="1">
        <f t="array" aca="1" ref="I211" ca="1">INDIRECT("'"&amp;$C211&amp;"'!"&amp;I$2&amp;MATCH($D211,INDIRECT("'"&amp;$C211&amp;"'!$A:$A"),0))</f>
        <v>13</v>
      </c>
      <c r="J211" s="6" cm="1">
        <f t="array" aca="1" ref="J211" ca="1">INDIRECT("'"&amp;$C211&amp;"'!"&amp;J$2&amp;MATCH($D211,INDIRECT("'"&amp;$C211&amp;"'!$A:$A"),0))</f>
        <v>13</v>
      </c>
      <c r="K211" s="6" cm="1">
        <f t="array" aca="1" ref="K211" ca="1">INDIRECT("'"&amp;$C211&amp;"'!"&amp;K$2&amp;MATCH($D211,INDIRECT("'"&amp;$C211&amp;"'!$A:$A"),0))</f>
        <v>29</v>
      </c>
      <c r="L211" s="6" cm="1">
        <f t="array" aca="1" ref="L211" ca="1">INDIRECT("'"&amp;$C211&amp;"'!"&amp;L$2&amp;MATCH($D211,INDIRECT("'"&amp;$C211&amp;"'!$A:$A"),0))</f>
        <v>0</v>
      </c>
      <c r="M211" s="7"/>
      <c r="N211" s="9"/>
    </row>
    <row r="212" spans="2:19" x14ac:dyDescent="0.35">
      <c r="B212" s="25" t="s">
        <v>271</v>
      </c>
      <c r="C212" s="5" t="s">
        <v>269</v>
      </c>
      <c r="D212" s="7">
        <v>5</v>
      </c>
      <c r="E212" s="17" cm="1">
        <f t="array" aca="1" ref="E212" ca="1">INDIRECT("'"&amp;$C212&amp;"'!"&amp;E$2&amp;MATCH($D212,INDIRECT("'"&amp;$C212&amp;"'!$A:$A"),0))</f>
        <v>0.92308000000000001</v>
      </c>
      <c r="F212" s="17" cm="1">
        <f t="array" aca="1" ref="F212" ca="1">INDIRECT("'"&amp;$C212&amp;"'!"&amp;F$2&amp;MATCH($D212,INDIRECT("'"&amp;$C212&amp;"'!$A:$A"),0))</f>
        <v>0.92308000000000001</v>
      </c>
      <c r="G212" s="17" cm="1">
        <f t="array" aca="1" ref="G212" ca="1">INDIRECT("'"&amp;$C212&amp;"'!"&amp;G$2&amp;MATCH($D212,INDIRECT("'"&amp;$C212&amp;"'!$A:$A"),0))</f>
        <v>0.92308000000000001</v>
      </c>
      <c r="H212" s="17"/>
      <c r="I212" s="6" cm="1">
        <f t="array" aca="1" ref="I212" ca="1">INDIRECT("'"&amp;$C212&amp;"'!"&amp;I$2&amp;MATCH($D212,INDIRECT("'"&amp;$C212&amp;"'!$A:$A"),0))</f>
        <v>13</v>
      </c>
      <c r="J212" s="6" cm="1">
        <f t="array" aca="1" ref="J212" ca="1">INDIRECT("'"&amp;$C212&amp;"'!"&amp;J$2&amp;MATCH($D212,INDIRECT("'"&amp;$C212&amp;"'!$A:$A"),0))</f>
        <v>12</v>
      </c>
      <c r="K212" s="6" cm="1">
        <f t="array" aca="1" ref="K212" ca="1">INDIRECT("'"&amp;$C212&amp;"'!"&amp;K$2&amp;MATCH($D212,INDIRECT("'"&amp;$C212&amp;"'!$A:$A"),0))</f>
        <v>1</v>
      </c>
      <c r="L212" s="6" cm="1">
        <f t="array" aca="1" ref="L212" ca="1">INDIRECT("'"&amp;$C212&amp;"'!"&amp;L$2&amp;MATCH($D212,INDIRECT("'"&amp;$C212&amp;"'!$A:$A"),0))</f>
        <v>1</v>
      </c>
      <c r="M212" s="7"/>
      <c r="N212" s="9"/>
    </row>
    <row r="213" spans="2:19" x14ac:dyDescent="0.35">
      <c r="D213" s="7"/>
      <c r="E213" s="17"/>
      <c r="F213" s="17"/>
      <c r="G213" s="17"/>
      <c r="H213" s="17"/>
      <c r="M213" s="7"/>
      <c r="N213" s="9"/>
    </row>
    <row r="215" spans="2:19" x14ac:dyDescent="0.35">
      <c r="B215" s="24" t="s">
        <v>246</v>
      </c>
      <c r="C215" s="5" t="s">
        <v>249</v>
      </c>
      <c r="D215" s="7">
        <v>6</v>
      </c>
      <c r="E215" s="17" cm="1">
        <f t="array" aca="1" ref="E215" ca="1">INDIRECT("'"&amp;$C215&amp;"'!"&amp;E$2&amp;MATCH($D215,INDIRECT("'"&amp;$C215&amp;"'!$A:$A"),0))</f>
        <v>1</v>
      </c>
      <c r="F215" s="17" cm="1">
        <f t="array" aca="1" ref="F215" ca="1">INDIRECT("'"&amp;$C215&amp;"'!"&amp;F$2&amp;MATCH($D215,INDIRECT("'"&amp;$C215&amp;"'!$A:$A"),0))</f>
        <v>1</v>
      </c>
      <c r="G215" s="17" cm="1">
        <f t="array" aca="1" ref="G215" ca="1">INDIRECT("'"&amp;$C215&amp;"'!"&amp;G$2&amp;MATCH($D215,INDIRECT("'"&amp;$C215&amp;"'!$A:$A"),0))</f>
        <v>1</v>
      </c>
      <c r="H215" s="17"/>
      <c r="I215" s="6" cm="1">
        <f t="array" aca="1" ref="I215" ca="1">INDIRECT("'"&amp;$C215&amp;"'!"&amp;I$2&amp;MATCH($D215,INDIRECT("'"&amp;$C215&amp;"'!$A:$A"),0))</f>
        <v>16</v>
      </c>
      <c r="J215" s="6" cm="1">
        <f t="array" aca="1" ref="J215" ca="1">INDIRECT("'"&amp;$C215&amp;"'!"&amp;J$2&amp;MATCH($D215,INDIRECT("'"&amp;$C215&amp;"'!$A:$A"),0))</f>
        <v>16</v>
      </c>
      <c r="K215" s="6" cm="1">
        <f t="array" aca="1" ref="K215" ca="1">INDIRECT("'"&amp;$C215&amp;"'!"&amp;K$2&amp;MATCH($D215,INDIRECT("'"&amp;$C215&amp;"'!$A:$A"),0))</f>
        <v>0</v>
      </c>
      <c r="L215" s="6" cm="1">
        <f t="array" aca="1" ref="L215" ca="1">INDIRECT("'"&amp;$C215&amp;"'!"&amp;L$2&amp;MATCH($D215,INDIRECT("'"&amp;$C215&amp;"'!$A:$A"),0))</f>
        <v>0</v>
      </c>
    </row>
    <row r="216" spans="2:19" x14ac:dyDescent="0.35">
      <c r="B216" s="25" t="s">
        <v>251</v>
      </c>
      <c r="C216" s="5" t="s">
        <v>250</v>
      </c>
      <c r="D216" s="7">
        <v>6</v>
      </c>
      <c r="E216" s="17" cm="1">
        <f t="array" aca="1" ref="E216" ca="1">INDIRECT("'"&amp;$C216&amp;"'!"&amp;E$2&amp;MATCH($D216,INDIRECT("'"&amp;$C216&amp;"'!$A:$A"),0))</f>
        <v>1</v>
      </c>
      <c r="F216" s="17" cm="1">
        <f t="array" aca="1" ref="F216" ca="1">INDIRECT("'"&amp;$C216&amp;"'!"&amp;F$2&amp;MATCH($D216,INDIRECT("'"&amp;$C216&amp;"'!$A:$A"),0))</f>
        <v>1</v>
      </c>
      <c r="G216" s="17" cm="1">
        <f t="array" aca="1" ref="G216" ca="1">INDIRECT("'"&amp;$C216&amp;"'!"&amp;G$2&amp;MATCH($D216,INDIRECT("'"&amp;$C216&amp;"'!$A:$A"),0))</f>
        <v>1</v>
      </c>
      <c r="H216" s="17"/>
      <c r="I216" s="6" cm="1">
        <f t="array" aca="1" ref="I216" ca="1">INDIRECT("'"&amp;$C216&amp;"'!"&amp;I$2&amp;MATCH($D216,INDIRECT("'"&amp;$C216&amp;"'!$A:$A"),0))</f>
        <v>16</v>
      </c>
      <c r="J216" s="6" cm="1">
        <f t="array" aca="1" ref="J216" ca="1">INDIRECT("'"&amp;$C216&amp;"'!"&amp;J$2&amp;MATCH($D216,INDIRECT("'"&amp;$C216&amp;"'!$A:$A"),0))</f>
        <v>16</v>
      </c>
      <c r="K216" s="6" cm="1">
        <f t="array" aca="1" ref="K216" ca="1">INDIRECT("'"&amp;$C216&amp;"'!"&amp;K$2&amp;MATCH($D216,INDIRECT("'"&amp;$C216&amp;"'!$A:$A"),0))</f>
        <v>0</v>
      </c>
      <c r="L216" s="6" cm="1">
        <f t="array" aca="1" ref="L216" ca="1">INDIRECT("'"&amp;$C216&amp;"'!"&amp;L$2&amp;MATCH($D216,INDIRECT("'"&amp;$C216&amp;"'!$A:$A"),0))</f>
        <v>0</v>
      </c>
    </row>
    <row r="217" spans="2:19" x14ac:dyDescent="0.35">
      <c r="B217" s="5" t="s">
        <v>252</v>
      </c>
      <c r="C217" s="5" t="s">
        <v>221</v>
      </c>
      <c r="D217" s="7">
        <v>6</v>
      </c>
      <c r="E217" s="17" cm="1">
        <f t="array" aca="1" ref="E217" ca="1">INDIRECT("'"&amp;$C217&amp;"'!"&amp;E$2&amp;MATCH($D217,INDIRECT("'"&amp;$C217&amp;"'!$A:$A"),0))</f>
        <v>0.55171999999999999</v>
      </c>
      <c r="F217" s="17" cm="1">
        <f t="array" aca="1" ref="F217" ca="1">INDIRECT("'"&amp;$C217&amp;"'!"&amp;F$2&amp;MATCH($D217,INDIRECT("'"&amp;$C217&amp;"'!$A:$A"),0))</f>
        <v>1</v>
      </c>
      <c r="G217" s="17" cm="1">
        <f t="array" aca="1" ref="G217" ca="1">INDIRECT("'"&amp;$C217&amp;"'!"&amp;G$2&amp;MATCH($D217,INDIRECT("'"&amp;$C217&amp;"'!$A:$A"),0))</f>
        <v>0.71111000000000002</v>
      </c>
      <c r="H217" s="17"/>
      <c r="I217" s="6" cm="1">
        <f t="array" aca="1" ref="I217" ca="1">INDIRECT("'"&amp;$C217&amp;"'!"&amp;I$2&amp;MATCH($D217,INDIRECT("'"&amp;$C217&amp;"'!$A:$A"),0))</f>
        <v>16</v>
      </c>
      <c r="J217" s="6" cm="1">
        <f t="array" aca="1" ref="J217" ca="1">INDIRECT("'"&amp;$C217&amp;"'!"&amp;J$2&amp;MATCH($D217,INDIRECT("'"&amp;$C217&amp;"'!$A:$A"),0))</f>
        <v>16</v>
      </c>
      <c r="K217" s="6" cm="1">
        <f t="array" aca="1" ref="K217" ca="1">INDIRECT("'"&amp;$C217&amp;"'!"&amp;K$2&amp;MATCH($D217,INDIRECT("'"&amp;$C217&amp;"'!$A:$A"),0))</f>
        <v>13</v>
      </c>
      <c r="L217" s="6" cm="1">
        <f t="array" aca="1" ref="L217" ca="1">INDIRECT("'"&amp;$C217&amp;"'!"&amp;L$2&amp;MATCH($D217,INDIRECT("'"&amp;$C217&amp;"'!$A:$A"),0))</f>
        <v>0</v>
      </c>
    </row>
    <row r="218" spans="2:19" x14ac:dyDescent="0.35">
      <c r="B218" s="5" t="s">
        <v>254</v>
      </c>
      <c r="C218" s="5" t="s">
        <v>220</v>
      </c>
      <c r="D218" s="7">
        <v>6</v>
      </c>
      <c r="E218" s="17" cm="1">
        <f t="array" aca="1" ref="E218" ca="1">INDIRECT("'"&amp;$C218&amp;"'!"&amp;E$2&amp;MATCH($D218,INDIRECT("'"&amp;$C218&amp;"'!$A:$A"),0))</f>
        <v>0.64</v>
      </c>
      <c r="F218" s="17" cm="1">
        <f t="array" aca="1" ref="F218" ca="1">INDIRECT("'"&amp;$C218&amp;"'!"&amp;F$2&amp;MATCH($D218,INDIRECT("'"&amp;$C218&amp;"'!$A:$A"),0))</f>
        <v>1</v>
      </c>
      <c r="G218" s="17" cm="1">
        <f t="array" aca="1" ref="G218" ca="1">INDIRECT("'"&amp;$C218&amp;"'!"&amp;G$2&amp;MATCH($D218,INDIRECT("'"&amp;$C218&amp;"'!$A:$A"),0))</f>
        <v>0.78049000000000002</v>
      </c>
      <c r="H218" s="17"/>
      <c r="I218" s="6" cm="1">
        <f t="array" aca="1" ref="I218" ca="1">INDIRECT("'"&amp;$C218&amp;"'!"&amp;I$2&amp;MATCH($D218,INDIRECT("'"&amp;$C218&amp;"'!$A:$A"),0))</f>
        <v>16</v>
      </c>
      <c r="J218" s="6" cm="1">
        <f t="array" aca="1" ref="J218" ca="1">INDIRECT("'"&amp;$C218&amp;"'!"&amp;J$2&amp;MATCH($D218,INDIRECT("'"&amp;$C218&amp;"'!$A:$A"),0))</f>
        <v>16</v>
      </c>
      <c r="K218" s="6" cm="1">
        <f t="array" aca="1" ref="K218" ca="1">INDIRECT("'"&amp;$C218&amp;"'!"&amp;K$2&amp;MATCH($D218,INDIRECT("'"&amp;$C218&amp;"'!$A:$A"),0))</f>
        <v>9</v>
      </c>
      <c r="L218" s="6" cm="1">
        <f t="array" aca="1" ref="L218" ca="1">INDIRECT("'"&amp;$C218&amp;"'!"&amp;L$2&amp;MATCH($D218,INDIRECT("'"&amp;$C218&amp;"'!$A:$A"),0))</f>
        <v>0</v>
      </c>
    </row>
    <row r="219" spans="2:19" x14ac:dyDescent="0.35">
      <c r="B219" s="5" t="s">
        <v>253</v>
      </c>
      <c r="C219" s="5" t="s">
        <v>219</v>
      </c>
      <c r="D219" s="7">
        <v>6</v>
      </c>
      <c r="E219" s="17" cm="1">
        <f t="array" aca="1" ref="E219" ca="1">INDIRECT("'"&amp;$C219&amp;"'!"&amp;E$2&amp;MATCH($D219,INDIRECT("'"&amp;$C219&amp;"'!$A:$A"),0))</f>
        <v>0.69564999999999999</v>
      </c>
      <c r="F219" s="17" cm="1">
        <f t="array" aca="1" ref="F219" ca="1">INDIRECT("'"&amp;$C219&amp;"'!"&amp;F$2&amp;MATCH($D219,INDIRECT("'"&amp;$C219&amp;"'!$A:$A"),0))</f>
        <v>1</v>
      </c>
      <c r="G219" s="17" cm="1">
        <f t="array" aca="1" ref="G219" ca="1">INDIRECT("'"&amp;$C219&amp;"'!"&amp;G$2&amp;MATCH($D219,INDIRECT("'"&amp;$C219&amp;"'!$A:$A"),0))</f>
        <v>0.82050999999999996</v>
      </c>
      <c r="H219" s="17"/>
      <c r="I219" s="6" cm="1">
        <f t="array" aca="1" ref="I219" ca="1">INDIRECT("'"&amp;$C219&amp;"'!"&amp;I$2&amp;MATCH($D219,INDIRECT("'"&amp;$C219&amp;"'!$A:$A"),0))</f>
        <v>16</v>
      </c>
      <c r="J219" s="6" cm="1">
        <f t="array" aca="1" ref="J219" ca="1">INDIRECT("'"&amp;$C219&amp;"'!"&amp;J$2&amp;MATCH($D219,INDIRECT("'"&amp;$C219&amp;"'!$A:$A"),0))</f>
        <v>16</v>
      </c>
      <c r="K219" s="6" cm="1">
        <f t="array" aca="1" ref="K219" ca="1">INDIRECT("'"&amp;$C219&amp;"'!"&amp;K$2&amp;MATCH($D219,INDIRECT("'"&amp;$C219&amp;"'!$A:$A"),0))</f>
        <v>7</v>
      </c>
      <c r="L219" s="6" cm="1">
        <f t="array" aca="1" ref="L219" ca="1">INDIRECT("'"&amp;$C219&amp;"'!"&amp;L$2&amp;MATCH($D219,INDIRECT("'"&amp;$C219&amp;"'!$A:$A"),0))</f>
        <v>0</v>
      </c>
    </row>
    <row r="220" spans="2:19" x14ac:dyDescent="0.35">
      <c r="B220" s="24" t="s">
        <v>259</v>
      </c>
      <c r="C220" s="5" t="s">
        <v>228</v>
      </c>
      <c r="D220" s="7">
        <v>6</v>
      </c>
      <c r="E220" s="17" cm="1">
        <f t="array" aca="1" ref="E220" ca="1">INDIRECT("'"&amp;$C220&amp;"'!"&amp;E$2&amp;MATCH($D220,INDIRECT("'"&amp;$C220&amp;"'!$A:$A"),0))</f>
        <v>0.88888999999999996</v>
      </c>
      <c r="F220" s="17" cm="1">
        <f t="array" aca="1" ref="F220" ca="1">INDIRECT("'"&amp;$C220&amp;"'!"&amp;F$2&amp;MATCH($D220,INDIRECT("'"&amp;$C220&amp;"'!$A:$A"),0))</f>
        <v>1</v>
      </c>
      <c r="G220" s="17" cm="1">
        <f t="array" aca="1" ref="G220" ca="1">INDIRECT("'"&amp;$C220&amp;"'!"&amp;G$2&amp;MATCH($D220,INDIRECT("'"&amp;$C220&amp;"'!$A:$A"),0))</f>
        <v>0.94118000000000002</v>
      </c>
      <c r="H220" s="17"/>
      <c r="I220" s="6" cm="1">
        <f t="array" aca="1" ref="I220" ca="1">INDIRECT("'"&amp;$C220&amp;"'!"&amp;I$2&amp;MATCH($D220,INDIRECT("'"&amp;$C220&amp;"'!$A:$A"),0))</f>
        <v>16</v>
      </c>
      <c r="J220" s="6" cm="1">
        <f t="array" aca="1" ref="J220" ca="1">INDIRECT("'"&amp;$C220&amp;"'!"&amp;J$2&amp;MATCH($D220,INDIRECT("'"&amp;$C220&amp;"'!$A:$A"),0))</f>
        <v>16</v>
      </c>
      <c r="K220" s="6" cm="1">
        <f t="array" aca="1" ref="K220" ca="1">INDIRECT("'"&amp;$C220&amp;"'!"&amp;K$2&amp;MATCH($D220,INDIRECT("'"&amp;$C220&amp;"'!$A:$A"),0))</f>
        <v>2</v>
      </c>
      <c r="L220" s="6" cm="1">
        <f t="array" aca="1" ref="L220" ca="1">INDIRECT("'"&amp;$C220&amp;"'!"&amp;L$2&amp;MATCH($D220,INDIRECT("'"&amp;$C220&amp;"'!$A:$A"),0))</f>
        <v>0</v>
      </c>
    </row>
    <row r="221" spans="2:19" x14ac:dyDescent="0.35">
      <c r="B221" s="5" t="s">
        <v>255</v>
      </c>
      <c r="C221" s="5" t="s">
        <v>218</v>
      </c>
      <c r="D221" s="7">
        <v>6</v>
      </c>
      <c r="E221" s="17" cm="1">
        <f t="array" aca="1" ref="E221" ca="1">INDIRECT("'"&amp;$C221&amp;"'!"&amp;E$2&amp;MATCH($D221,INDIRECT("'"&amp;$C221&amp;"'!$A:$A"),0))</f>
        <v>0.30769000000000002</v>
      </c>
      <c r="F221" s="17" cm="1">
        <f t="array" aca="1" ref="F221" ca="1">INDIRECT("'"&amp;$C221&amp;"'!"&amp;F$2&amp;MATCH($D221,INDIRECT("'"&amp;$C221&amp;"'!$A:$A"),0))</f>
        <v>1</v>
      </c>
      <c r="G221" s="17" cm="1">
        <f t="array" aca="1" ref="G221" ca="1">INDIRECT("'"&amp;$C221&amp;"'!"&amp;G$2&amp;MATCH($D221,INDIRECT("'"&amp;$C221&amp;"'!$A:$A"),0))</f>
        <v>0.47059000000000001</v>
      </c>
      <c r="H221" s="17"/>
      <c r="I221" s="6" cm="1">
        <f t="array" aca="1" ref="I221" ca="1">INDIRECT("'"&amp;$C221&amp;"'!"&amp;I$2&amp;MATCH($D221,INDIRECT("'"&amp;$C221&amp;"'!$A:$A"),0))</f>
        <v>16</v>
      </c>
      <c r="J221" s="6" cm="1">
        <f t="array" aca="1" ref="J221" ca="1">INDIRECT("'"&amp;$C221&amp;"'!"&amp;J$2&amp;MATCH($D221,INDIRECT("'"&amp;$C221&amp;"'!$A:$A"),0))</f>
        <v>16</v>
      </c>
      <c r="K221" s="6" cm="1">
        <f t="array" aca="1" ref="K221" ca="1">INDIRECT("'"&amp;$C221&amp;"'!"&amp;K$2&amp;MATCH($D221,INDIRECT("'"&amp;$C221&amp;"'!$A:$A"),0))</f>
        <v>36</v>
      </c>
      <c r="L221" s="6" cm="1">
        <f t="array" aca="1" ref="L221" ca="1">INDIRECT("'"&amp;$C221&amp;"'!"&amp;L$2&amp;MATCH($D221,INDIRECT("'"&amp;$C221&amp;"'!$A:$A"),0))</f>
        <v>0</v>
      </c>
    </row>
    <row r="222" spans="2:19" x14ac:dyDescent="0.35">
      <c r="B222" s="5" t="s">
        <v>256</v>
      </c>
      <c r="C222" s="5" t="s">
        <v>217</v>
      </c>
      <c r="D222" s="7">
        <v>6</v>
      </c>
      <c r="E222" s="17" cm="1">
        <f t="array" aca="1" ref="E222" ca="1">INDIRECT("'"&amp;$C222&amp;"'!"&amp;E$2&amp;MATCH($D222,INDIRECT("'"&amp;$C222&amp;"'!$A:$A"),0))</f>
        <v>0.59258999999999995</v>
      </c>
      <c r="F222" s="17" cm="1">
        <f t="array" aca="1" ref="F222" ca="1">INDIRECT("'"&amp;$C222&amp;"'!"&amp;F$2&amp;MATCH($D222,INDIRECT("'"&amp;$C222&amp;"'!$A:$A"),0))</f>
        <v>1</v>
      </c>
      <c r="G222" s="17" cm="1">
        <f t="array" aca="1" ref="G222" ca="1">INDIRECT("'"&amp;$C222&amp;"'!"&amp;G$2&amp;MATCH($D222,INDIRECT("'"&amp;$C222&amp;"'!$A:$A"),0))</f>
        <v>0.74419000000000002</v>
      </c>
      <c r="H222" s="17"/>
      <c r="I222" s="6" cm="1">
        <f t="array" aca="1" ref="I222" ca="1">INDIRECT("'"&amp;$C222&amp;"'!"&amp;I$2&amp;MATCH($D222,INDIRECT("'"&amp;$C222&amp;"'!$A:$A"),0))</f>
        <v>16</v>
      </c>
      <c r="J222" s="6" cm="1">
        <f t="array" aca="1" ref="J222" ca="1">INDIRECT("'"&amp;$C222&amp;"'!"&amp;J$2&amp;MATCH($D222,INDIRECT("'"&amp;$C222&amp;"'!$A:$A"),0))</f>
        <v>16</v>
      </c>
      <c r="K222" s="6" cm="1">
        <f t="array" aca="1" ref="K222" ca="1">INDIRECT("'"&amp;$C222&amp;"'!"&amp;K$2&amp;MATCH($D222,INDIRECT("'"&amp;$C222&amp;"'!$A:$A"),0))</f>
        <v>11</v>
      </c>
      <c r="L222" s="6" cm="1">
        <f t="array" aca="1" ref="L222" ca="1">INDIRECT("'"&amp;$C222&amp;"'!"&amp;L$2&amp;MATCH($D222,INDIRECT("'"&amp;$C222&amp;"'!$A:$A"),0))</f>
        <v>0</v>
      </c>
      <c r="S222"/>
    </row>
    <row r="223" spans="2:19" x14ac:dyDescent="0.35">
      <c r="B223" s="5" t="s">
        <v>257</v>
      </c>
      <c r="C223" s="5" t="s">
        <v>216</v>
      </c>
      <c r="D223" s="7">
        <v>6</v>
      </c>
      <c r="E223" s="17" cm="1">
        <f t="array" aca="1" ref="E223" ca="1">INDIRECT("'"&amp;$C223&amp;"'!"&amp;E$2&amp;MATCH($D223,INDIRECT("'"&amp;$C223&amp;"'!$A:$A"),0))</f>
        <v>0.5</v>
      </c>
      <c r="F223" s="17" cm="1">
        <f t="array" aca="1" ref="F223" ca="1">INDIRECT("'"&amp;$C223&amp;"'!"&amp;F$2&amp;MATCH($D223,INDIRECT("'"&amp;$C223&amp;"'!$A:$A"),0))</f>
        <v>1</v>
      </c>
      <c r="G223" s="17" cm="1">
        <f t="array" aca="1" ref="G223" ca="1">INDIRECT("'"&amp;$C223&amp;"'!"&amp;G$2&amp;MATCH($D223,INDIRECT("'"&amp;$C223&amp;"'!$A:$A"),0))</f>
        <v>0.66666999999999998</v>
      </c>
      <c r="H223" s="17"/>
      <c r="I223" s="6" cm="1">
        <f t="array" aca="1" ref="I223" ca="1">INDIRECT("'"&amp;$C223&amp;"'!"&amp;I$2&amp;MATCH($D223,INDIRECT("'"&amp;$C223&amp;"'!$A:$A"),0))</f>
        <v>16</v>
      </c>
      <c r="J223" s="6" cm="1">
        <f t="array" aca="1" ref="J223" ca="1">INDIRECT("'"&amp;$C223&amp;"'!"&amp;J$2&amp;MATCH($D223,INDIRECT("'"&amp;$C223&amp;"'!$A:$A"),0))</f>
        <v>16</v>
      </c>
      <c r="K223" s="6" cm="1">
        <f t="array" aca="1" ref="K223" ca="1">INDIRECT("'"&amp;$C223&amp;"'!"&amp;K$2&amp;MATCH($D223,INDIRECT("'"&amp;$C223&amp;"'!$A:$A"),0))</f>
        <v>16</v>
      </c>
      <c r="L223" s="6" cm="1">
        <f t="array" aca="1" ref="L223" ca="1">INDIRECT("'"&amp;$C223&amp;"'!"&amp;L$2&amp;MATCH($D223,INDIRECT("'"&amp;$C223&amp;"'!$A:$A"),0))</f>
        <v>0</v>
      </c>
    </row>
    <row r="224" spans="2:19" x14ac:dyDescent="0.35">
      <c r="B224" s="5" t="s">
        <v>258</v>
      </c>
      <c r="C224" s="5" t="s">
        <v>227</v>
      </c>
      <c r="D224" s="7">
        <v>6</v>
      </c>
      <c r="E224" s="17" cm="1">
        <f t="array" aca="1" ref="E224" ca="1">INDIRECT("'"&amp;$C224&amp;"'!"&amp;E$2&amp;MATCH($D224,INDIRECT("'"&amp;$C224&amp;"'!$A:$A"),0))</f>
        <v>0.66666999999999998</v>
      </c>
      <c r="F224" s="17" cm="1">
        <f t="array" aca="1" ref="F224" ca="1">INDIRECT("'"&amp;$C224&amp;"'!"&amp;F$2&amp;MATCH($D224,INDIRECT("'"&amp;$C224&amp;"'!$A:$A"),0))</f>
        <v>1</v>
      </c>
      <c r="G224" s="17" cm="1">
        <f t="array" aca="1" ref="G224" ca="1">INDIRECT("'"&amp;$C224&amp;"'!"&amp;G$2&amp;MATCH($D224,INDIRECT("'"&amp;$C224&amp;"'!$A:$A"),0))</f>
        <v>0.8</v>
      </c>
      <c r="H224" s="17"/>
      <c r="I224" s="6" cm="1">
        <f t="array" aca="1" ref="I224" ca="1">INDIRECT("'"&amp;$C224&amp;"'!"&amp;I$2&amp;MATCH($D224,INDIRECT("'"&amp;$C224&amp;"'!$A:$A"),0))</f>
        <v>16</v>
      </c>
      <c r="J224" s="6" cm="1">
        <f t="array" aca="1" ref="J224" ca="1">INDIRECT("'"&amp;$C224&amp;"'!"&amp;J$2&amp;MATCH($D224,INDIRECT("'"&amp;$C224&amp;"'!$A:$A"),0))</f>
        <v>16</v>
      </c>
      <c r="K224" s="6" cm="1">
        <f t="array" aca="1" ref="K224" ca="1">INDIRECT("'"&amp;$C224&amp;"'!"&amp;K$2&amp;MATCH($D224,INDIRECT("'"&amp;$C224&amp;"'!$A:$A"),0))</f>
        <v>8</v>
      </c>
      <c r="L224" s="6" cm="1">
        <f t="array" aca="1" ref="L224" ca="1">INDIRECT("'"&amp;$C224&amp;"'!"&amp;L$2&amp;MATCH($D224,INDIRECT("'"&amp;$C224&amp;"'!$A:$A"),0))</f>
        <v>0</v>
      </c>
    </row>
    <row r="225" spans="2:14" x14ac:dyDescent="0.35">
      <c r="B225" s="25" t="s">
        <v>260</v>
      </c>
      <c r="C225" s="5" t="s">
        <v>247</v>
      </c>
      <c r="D225" s="7">
        <v>6</v>
      </c>
      <c r="E225" s="17" cm="1">
        <f t="array" aca="1" ref="E225" ca="1">INDIRECT("'"&amp;$C225&amp;"'!"&amp;E$2&amp;MATCH($D225,INDIRECT("'"&amp;$C225&amp;"'!$A:$A"),0))</f>
        <v>0.83333000000000002</v>
      </c>
      <c r="F225" s="17" cm="1">
        <f t="array" aca="1" ref="F225" ca="1">INDIRECT("'"&amp;$C225&amp;"'!"&amp;F$2&amp;MATCH($D225,INDIRECT("'"&amp;$C225&amp;"'!$A:$A"),0))</f>
        <v>0.9375</v>
      </c>
      <c r="G225" s="17" cm="1">
        <f t="array" aca="1" ref="G225" ca="1">INDIRECT("'"&amp;$C225&amp;"'!"&amp;G$2&amp;MATCH($D225,INDIRECT("'"&amp;$C225&amp;"'!$A:$A"),0))</f>
        <v>0.88234999999999997</v>
      </c>
      <c r="H225" s="17"/>
      <c r="I225" s="6" cm="1">
        <f t="array" aca="1" ref="I225" ca="1">INDIRECT("'"&amp;$C225&amp;"'!"&amp;I$2&amp;MATCH($D225,INDIRECT("'"&amp;$C225&amp;"'!$A:$A"),0))</f>
        <v>16</v>
      </c>
      <c r="J225" s="6" cm="1">
        <f t="array" aca="1" ref="J225" ca="1">INDIRECT("'"&amp;$C225&amp;"'!"&amp;J$2&amp;MATCH($D225,INDIRECT("'"&amp;$C225&amp;"'!$A:$A"),0))</f>
        <v>15</v>
      </c>
      <c r="K225" s="6" cm="1">
        <f t="array" aca="1" ref="K225" ca="1">INDIRECT("'"&amp;$C225&amp;"'!"&amp;K$2&amp;MATCH($D225,INDIRECT("'"&amp;$C225&amp;"'!$A:$A"),0))</f>
        <v>3</v>
      </c>
      <c r="L225" s="6" cm="1">
        <f t="array" aca="1" ref="L225" ca="1">INDIRECT("'"&amp;$C225&amp;"'!"&amp;L$2&amp;MATCH($D225,INDIRECT("'"&amp;$C225&amp;"'!$A:$A"),0))</f>
        <v>1</v>
      </c>
    </row>
    <row r="226" spans="2:14" x14ac:dyDescent="0.35">
      <c r="B226" s="25" t="s">
        <v>261</v>
      </c>
      <c r="C226" s="5" t="s">
        <v>248</v>
      </c>
      <c r="D226" s="7">
        <v>6</v>
      </c>
      <c r="E226" s="17" cm="1">
        <f t="array" aca="1" ref="E226" ca="1">INDIRECT("'"&amp;$C226&amp;"'!"&amp;E$2&amp;MATCH($D226,INDIRECT("'"&amp;$C226&amp;"'!$A:$A"),0))</f>
        <v>0.84211000000000003</v>
      </c>
      <c r="F226" s="17" cm="1">
        <f t="array" aca="1" ref="F226" ca="1">INDIRECT("'"&amp;$C226&amp;"'!"&amp;F$2&amp;MATCH($D226,INDIRECT("'"&amp;$C226&amp;"'!$A:$A"),0))</f>
        <v>1</v>
      </c>
      <c r="G226" s="17" cm="1">
        <f t="array" aca="1" ref="G226" ca="1">INDIRECT("'"&amp;$C226&amp;"'!"&amp;G$2&amp;MATCH($D226,INDIRECT("'"&amp;$C226&amp;"'!$A:$A"),0))</f>
        <v>0.91429000000000005</v>
      </c>
      <c r="H226" s="17"/>
      <c r="I226" s="6" cm="1">
        <f t="array" aca="1" ref="I226" ca="1">INDIRECT("'"&amp;$C226&amp;"'!"&amp;I$2&amp;MATCH($D226,INDIRECT("'"&amp;$C226&amp;"'!$A:$A"),0))</f>
        <v>16</v>
      </c>
      <c r="J226" s="6" cm="1">
        <f t="array" aca="1" ref="J226" ca="1">INDIRECT("'"&amp;$C226&amp;"'!"&amp;J$2&amp;MATCH($D226,INDIRECT("'"&amp;$C226&amp;"'!$A:$A"),0))</f>
        <v>16</v>
      </c>
      <c r="K226" s="6" cm="1">
        <f t="array" aca="1" ref="K226" ca="1">INDIRECT("'"&amp;$C226&amp;"'!"&amp;K$2&amp;MATCH($D226,INDIRECT("'"&amp;$C226&amp;"'!$A:$A"),0))</f>
        <v>3</v>
      </c>
      <c r="L226" s="6" cm="1">
        <f t="array" aca="1" ref="L226" ca="1">INDIRECT("'"&amp;$C226&amp;"'!"&amp;L$2&amp;MATCH($D226,INDIRECT("'"&amp;$C226&amp;"'!$A:$A"),0))</f>
        <v>0</v>
      </c>
    </row>
    <row r="227" spans="2:14" x14ac:dyDescent="0.35">
      <c r="B227" s="5" t="s">
        <v>282</v>
      </c>
      <c r="C227" s="5" t="s">
        <v>285</v>
      </c>
      <c r="D227" s="7">
        <v>6</v>
      </c>
      <c r="E227" s="17" cm="1">
        <f t="array" aca="1" ref="E227" ca="1">INDIRECT("'"&amp;$C227&amp;"'!"&amp;E$2&amp;MATCH($D227,INDIRECT("'"&amp;$C227&amp;"'!$A:$A"),0))</f>
        <v>0.625</v>
      </c>
      <c r="F227" s="17" cm="1">
        <f t="array" aca="1" ref="F227" ca="1">INDIRECT("'"&amp;$C227&amp;"'!"&amp;F$2&amp;MATCH($D227,INDIRECT("'"&amp;$C227&amp;"'!$A:$A"),0))</f>
        <v>0.9375</v>
      </c>
      <c r="G227" s="17" cm="1">
        <f t="array" aca="1" ref="G227" ca="1">INDIRECT("'"&amp;$C227&amp;"'!"&amp;G$2&amp;MATCH($D227,INDIRECT("'"&amp;$C227&amp;"'!$A:$A"),0))</f>
        <v>0.75</v>
      </c>
      <c r="H227" s="17"/>
      <c r="I227" s="6" cm="1">
        <f t="array" aca="1" ref="I227" ca="1">INDIRECT("'"&amp;$C227&amp;"'!"&amp;I$2&amp;MATCH($D227,INDIRECT("'"&amp;$C227&amp;"'!$A:$A"),0))</f>
        <v>16</v>
      </c>
      <c r="J227" s="6" cm="1">
        <f t="array" aca="1" ref="J227" ca="1">INDIRECT("'"&amp;$C227&amp;"'!"&amp;J$2&amp;MATCH($D227,INDIRECT("'"&amp;$C227&amp;"'!$A:$A"),0))</f>
        <v>15</v>
      </c>
      <c r="K227" s="6" cm="1">
        <f t="array" aca="1" ref="K227" ca="1">INDIRECT("'"&amp;$C227&amp;"'!"&amp;K$2&amp;MATCH($D227,INDIRECT("'"&amp;$C227&amp;"'!$A:$A"),0))</f>
        <v>9</v>
      </c>
      <c r="L227" s="6" cm="1">
        <f t="array" aca="1" ref="L227" ca="1">INDIRECT("'"&amp;$C227&amp;"'!"&amp;L$2&amp;MATCH($D227,INDIRECT("'"&amp;$C227&amp;"'!$A:$A"),0))</f>
        <v>1</v>
      </c>
    </row>
    <row r="228" spans="2:14" x14ac:dyDescent="0.35">
      <c r="B228" s="5" t="s">
        <v>283</v>
      </c>
      <c r="C228" s="5" t="s">
        <v>286</v>
      </c>
      <c r="D228" s="7">
        <v>6</v>
      </c>
      <c r="E228" s="17" cm="1">
        <f t="array" aca="1" ref="E228" ca="1">INDIRECT("'"&amp;$C228&amp;"'!"&amp;E$2&amp;MATCH($D228,INDIRECT("'"&amp;$C228&amp;"'!$A:$A"),0))</f>
        <v>0.41026000000000001</v>
      </c>
      <c r="F228" s="17" cm="1">
        <f t="array" aca="1" ref="F228" ca="1">INDIRECT("'"&amp;$C228&amp;"'!"&amp;F$2&amp;MATCH($D228,INDIRECT("'"&amp;$C228&amp;"'!$A:$A"),0))</f>
        <v>1</v>
      </c>
      <c r="G228" s="17" cm="1">
        <f t="array" aca="1" ref="G228" ca="1">INDIRECT("'"&amp;$C228&amp;"'!"&amp;G$2&amp;MATCH($D228,INDIRECT("'"&amp;$C228&amp;"'!$A:$A"),0))</f>
        <v>0.58182</v>
      </c>
      <c r="H228" s="17"/>
      <c r="I228" s="6" cm="1">
        <f t="array" aca="1" ref="I228" ca="1">INDIRECT("'"&amp;$C228&amp;"'!"&amp;I$2&amp;MATCH($D228,INDIRECT("'"&amp;$C228&amp;"'!$A:$A"),0))</f>
        <v>16</v>
      </c>
      <c r="J228" s="6" cm="1">
        <f t="array" aca="1" ref="J228" ca="1">INDIRECT("'"&amp;$C228&amp;"'!"&amp;J$2&amp;MATCH($D228,INDIRECT("'"&amp;$C228&amp;"'!$A:$A"),0))</f>
        <v>16</v>
      </c>
      <c r="K228" s="6" cm="1">
        <f t="array" aca="1" ref="K228" ca="1">INDIRECT("'"&amp;$C228&amp;"'!"&amp;K$2&amp;MATCH($D228,INDIRECT("'"&amp;$C228&amp;"'!$A:$A"),0))</f>
        <v>23</v>
      </c>
      <c r="L228" s="6" cm="1">
        <f t="array" aca="1" ref="L228" ca="1">INDIRECT("'"&amp;$C228&amp;"'!"&amp;L$2&amp;MATCH($D228,INDIRECT("'"&amp;$C228&amp;"'!$A:$A"),0))</f>
        <v>0</v>
      </c>
    </row>
    <row r="229" spans="2:14" x14ac:dyDescent="0.35">
      <c r="B229" s="5" t="s">
        <v>284</v>
      </c>
      <c r="C229" s="5" t="s">
        <v>287</v>
      </c>
      <c r="D229" s="7">
        <v>6</v>
      </c>
      <c r="E229" s="17" cm="1">
        <f t="array" aca="1" ref="E229" ca="1">INDIRECT("'"&amp;$C229&amp;"'!"&amp;E$2&amp;MATCH($D229,INDIRECT("'"&amp;$C229&amp;"'!$A:$A"),0))</f>
        <v>0.76190000000000002</v>
      </c>
      <c r="F229" s="17" cm="1">
        <f t="array" aca="1" ref="F229" ca="1">INDIRECT("'"&amp;$C229&amp;"'!"&amp;F$2&amp;MATCH($D229,INDIRECT("'"&amp;$C229&amp;"'!$A:$A"),0))</f>
        <v>1</v>
      </c>
      <c r="G229" s="17" cm="1">
        <f t="array" aca="1" ref="G229" ca="1">INDIRECT("'"&amp;$C229&amp;"'!"&amp;G$2&amp;MATCH($D229,INDIRECT("'"&amp;$C229&amp;"'!$A:$A"),0))</f>
        <v>0.86485999999999996</v>
      </c>
      <c r="H229" s="17"/>
      <c r="I229" s="6" cm="1">
        <f t="array" aca="1" ref="I229" ca="1">INDIRECT("'"&amp;$C229&amp;"'!"&amp;I$2&amp;MATCH($D229,INDIRECT("'"&amp;$C229&amp;"'!$A:$A"),0))</f>
        <v>16</v>
      </c>
      <c r="J229" s="6" cm="1">
        <f t="array" aca="1" ref="J229" ca="1">INDIRECT("'"&amp;$C229&amp;"'!"&amp;J$2&amp;MATCH($D229,INDIRECT("'"&amp;$C229&amp;"'!$A:$A"),0))</f>
        <v>16</v>
      </c>
      <c r="K229" s="6" cm="1">
        <f t="array" aca="1" ref="K229" ca="1">INDIRECT("'"&amp;$C229&amp;"'!"&amp;K$2&amp;MATCH($D229,INDIRECT("'"&amp;$C229&amp;"'!$A:$A"),0))</f>
        <v>5</v>
      </c>
      <c r="L229" s="6" cm="1">
        <f t="array" aca="1" ref="L229" ca="1">INDIRECT("'"&amp;$C229&amp;"'!"&amp;L$2&amp;MATCH($D229,INDIRECT("'"&amp;$C229&amp;"'!$A:$A"),0))</f>
        <v>0</v>
      </c>
    </row>
    <row r="230" spans="2:14" x14ac:dyDescent="0.35">
      <c r="B230" s="5" t="s">
        <v>262</v>
      </c>
      <c r="C230" s="5" t="s">
        <v>222</v>
      </c>
      <c r="D230" s="7">
        <v>6</v>
      </c>
      <c r="E230" s="17" cm="1">
        <f t="array" aca="1" ref="E230" ca="1">INDIRECT("'"&amp;$C230&amp;"'!"&amp;E$2&amp;MATCH($D230,INDIRECT("'"&amp;$C230&amp;"'!$A:$A"),0))</f>
        <v>0.84211000000000003</v>
      </c>
      <c r="F230" s="17" cm="1">
        <f t="array" aca="1" ref="F230" ca="1">INDIRECT("'"&amp;$C230&amp;"'!"&amp;F$2&amp;MATCH($D230,INDIRECT("'"&amp;$C230&amp;"'!$A:$A"),0))</f>
        <v>1</v>
      </c>
      <c r="G230" s="17" cm="1">
        <f t="array" aca="1" ref="G230" ca="1">INDIRECT("'"&amp;$C230&amp;"'!"&amp;G$2&amp;MATCH($D230,INDIRECT("'"&amp;$C230&amp;"'!$A:$A"),0))</f>
        <v>0.91429000000000005</v>
      </c>
      <c r="H230" s="17"/>
      <c r="I230" s="6" cm="1">
        <f t="array" aca="1" ref="I230" ca="1">INDIRECT("'"&amp;$C230&amp;"'!"&amp;I$2&amp;MATCH($D230,INDIRECT("'"&amp;$C230&amp;"'!$A:$A"),0))</f>
        <v>16</v>
      </c>
      <c r="J230" s="6" cm="1">
        <f t="array" aca="1" ref="J230" ca="1">INDIRECT("'"&amp;$C230&amp;"'!"&amp;J$2&amp;MATCH($D230,INDIRECT("'"&amp;$C230&amp;"'!$A:$A"),0))</f>
        <v>16</v>
      </c>
      <c r="K230" s="6" cm="1">
        <f t="array" aca="1" ref="K230" ca="1">INDIRECT("'"&amp;$C230&amp;"'!"&amp;K$2&amp;MATCH($D230,INDIRECT("'"&amp;$C230&amp;"'!$A:$A"),0))</f>
        <v>3</v>
      </c>
      <c r="L230" s="6" cm="1">
        <f t="array" aca="1" ref="L230" ca="1">INDIRECT("'"&amp;$C230&amp;"'!"&amp;L$2&amp;MATCH($D230,INDIRECT("'"&amp;$C230&amp;"'!$A:$A"),0))</f>
        <v>0</v>
      </c>
    </row>
    <row r="231" spans="2:14" x14ac:dyDescent="0.35">
      <c r="B231" s="5" t="s">
        <v>263</v>
      </c>
      <c r="C231" s="5" t="s">
        <v>223</v>
      </c>
      <c r="D231" s="7">
        <v>6</v>
      </c>
      <c r="E231" s="17" cm="1">
        <f t="array" aca="1" ref="E231" ca="1">INDIRECT("'"&amp;$C231&amp;"'!"&amp;E$2&amp;MATCH($D231,INDIRECT("'"&amp;$C231&amp;"'!$A:$A"),0))</f>
        <v>0.84211000000000003</v>
      </c>
      <c r="F231" s="17" cm="1">
        <f t="array" aca="1" ref="F231" ca="1">INDIRECT("'"&amp;$C231&amp;"'!"&amp;F$2&amp;MATCH($D231,INDIRECT("'"&amp;$C231&amp;"'!$A:$A"),0))</f>
        <v>1</v>
      </c>
      <c r="G231" s="17" cm="1">
        <f t="array" aca="1" ref="G231" ca="1">INDIRECT("'"&amp;$C231&amp;"'!"&amp;G$2&amp;MATCH($D231,INDIRECT("'"&amp;$C231&amp;"'!$A:$A"),0))</f>
        <v>0.91429000000000005</v>
      </c>
      <c r="H231" s="17"/>
      <c r="I231" s="6" cm="1">
        <f t="array" aca="1" ref="I231" ca="1">INDIRECT("'"&amp;$C231&amp;"'!"&amp;I$2&amp;MATCH($D231,INDIRECT("'"&amp;$C231&amp;"'!$A:$A"),0))</f>
        <v>16</v>
      </c>
      <c r="J231" s="6" cm="1">
        <f t="array" aca="1" ref="J231" ca="1">INDIRECT("'"&amp;$C231&amp;"'!"&amp;J$2&amp;MATCH($D231,INDIRECT("'"&amp;$C231&amp;"'!$A:$A"),0))</f>
        <v>16</v>
      </c>
      <c r="K231" s="6" cm="1">
        <f t="array" aca="1" ref="K231" ca="1">INDIRECT("'"&amp;$C231&amp;"'!"&amp;K$2&amp;MATCH($D231,INDIRECT("'"&amp;$C231&amp;"'!$A:$A"),0))</f>
        <v>3</v>
      </c>
      <c r="L231" s="6" cm="1">
        <f t="array" aca="1" ref="L231" ca="1">INDIRECT("'"&amp;$C231&amp;"'!"&amp;L$2&amp;MATCH($D231,INDIRECT("'"&amp;$C231&amp;"'!$A:$A"),0))</f>
        <v>0</v>
      </c>
    </row>
    <row r="232" spans="2:14" x14ac:dyDescent="0.35">
      <c r="B232" s="24" t="s">
        <v>264</v>
      </c>
      <c r="C232" s="5" t="s">
        <v>224</v>
      </c>
      <c r="D232" s="7">
        <v>6</v>
      </c>
      <c r="E232" s="17" cm="1">
        <f t="array" aca="1" ref="E232" ca="1">INDIRECT("'"&amp;$C232&amp;"'!"&amp;E$2&amp;MATCH($D232,INDIRECT("'"&amp;$C232&amp;"'!$A:$A"),0))</f>
        <v>0.9375</v>
      </c>
      <c r="F232" s="17" cm="1">
        <f t="array" aca="1" ref="F232" ca="1">INDIRECT("'"&amp;$C232&amp;"'!"&amp;F$2&amp;MATCH($D232,INDIRECT("'"&amp;$C232&amp;"'!$A:$A"),0))</f>
        <v>0.9375</v>
      </c>
      <c r="G232" s="17" cm="1">
        <f t="array" aca="1" ref="G232" ca="1">INDIRECT("'"&amp;$C232&amp;"'!"&amp;G$2&amp;MATCH($D232,INDIRECT("'"&amp;$C232&amp;"'!$A:$A"),0))</f>
        <v>0.9375</v>
      </c>
      <c r="H232" s="17"/>
      <c r="I232" s="6" cm="1">
        <f t="array" aca="1" ref="I232" ca="1">INDIRECT("'"&amp;$C232&amp;"'!"&amp;I$2&amp;MATCH($D232,INDIRECT("'"&amp;$C232&amp;"'!$A:$A"),0))</f>
        <v>16</v>
      </c>
      <c r="J232" s="6" cm="1">
        <f t="array" aca="1" ref="J232" ca="1">INDIRECT("'"&amp;$C232&amp;"'!"&amp;J$2&amp;MATCH($D232,INDIRECT("'"&amp;$C232&amp;"'!$A:$A"),0))</f>
        <v>15</v>
      </c>
      <c r="K232" s="6" cm="1">
        <f t="array" aca="1" ref="K232" ca="1">INDIRECT("'"&amp;$C232&amp;"'!"&amp;K$2&amp;MATCH($D232,INDIRECT("'"&amp;$C232&amp;"'!$A:$A"),0))</f>
        <v>1</v>
      </c>
      <c r="L232" s="6" cm="1">
        <f t="array" aca="1" ref="L232" ca="1">INDIRECT("'"&amp;$C232&amp;"'!"&amp;L$2&amp;MATCH($D232,INDIRECT("'"&amp;$C232&amp;"'!$A:$A"),0))</f>
        <v>1</v>
      </c>
      <c r="M232" s="7"/>
      <c r="N232" s="9"/>
    </row>
    <row r="233" spans="2:14" x14ac:dyDescent="0.35">
      <c r="B233" s="5" t="s">
        <v>265</v>
      </c>
      <c r="C233" s="5" t="s">
        <v>233</v>
      </c>
      <c r="D233" s="7">
        <v>6</v>
      </c>
      <c r="E233" s="17" cm="1">
        <f t="array" aca="1" ref="E233" ca="1">INDIRECT("'"&amp;$C233&amp;"'!"&amp;E$2&amp;MATCH($D233,INDIRECT("'"&amp;$C233&amp;"'!$A:$A"),0))</f>
        <v>0.84211000000000003</v>
      </c>
      <c r="F233" s="17" cm="1">
        <f t="array" aca="1" ref="F233" ca="1">INDIRECT("'"&amp;$C233&amp;"'!"&amp;F$2&amp;MATCH($D233,INDIRECT("'"&amp;$C233&amp;"'!$A:$A"),0))</f>
        <v>1</v>
      </c>
      <c r="G233" s="17" cm="1">
        <f t="array" aca="1" ref="G233" ca="1">INDIRECT("'"&amp;$C233&amp;"'!"&amp;G$2&amp;MATCH($D233,INDIRECT("'"&amp;$C233&amp;"'!$A:$A"),0))</f>
        <v>0.91429000000000005</v>
      </c>
      <c r="H233" s="17"/>
      <c r="I233" s="6" cm="1">
        <f t="array" aca="1" ref="I233" ca="1">INDIRECT("'"&amp;$C233&amp;"'!"&amp;I$2&amp;MATCH($D233,INDIRECT("'"&amp;$C233&amp;"'!$A:$A"),0))</f>
        <v>16</v>
      </c>
      <c r="J233" s="6" cm="1">
        <f t="array" aca="1" ref="J233" ca="1">INDIRECT("'"&amp;$C233&amp;"'!"&amp;J$2&amp;MATCH($D233,INDIRECT("'"&amp;$C233&amp;"'!$A:$A"),0))</f>
        <v>16</v>
      </c>
      <c r="K233" s="6" cm="1">
        <f t="array" aca="1" ref="K233" ca="1">INDIRECT("'"&amp;$C233&amp;"'!"&amp;K$2&amp;MATCH($D233,INDIRECT("'"&amp;$C233&amp;"'!$A:$A"),0))</f>
        <v>3</v>
      </c>
      <c r="L233" s="6" cm="1">
        <f t="array" aca="1" ref="L233" ca="1">INDIRECT("'"&amp;$C233&amp;"'!"&amp;L$2&amp;MATCH($D233,INDIRECT("'"&amp;$C233&amp;"'!$A:$A"),0))</f>
        <v>0</v>
      </c>
      <c r="M233" s="7"/>
      <c r="N233" s="9"/>
    </row>
    <row r="234" spans="2:14" x14ac:dyDescent="0.35">
      <c r="B234" s="5" t="s">
        <v>266</v>
      </c>
      <c r="C234" s="5" t="s">
        <v>232</v>
      </c>
      <c r="D234" s="7">
        <v>6</v>
      </c>
      <c r="E234" s="17" cm="1">
        <f t="array" aca="1" ref="E234" ca="1">INDIRECT("'"&amp;$C234&amp;"'!"&amp;E$2&amp;MATCH($D234,INDIRECT("'"&amp;$C234&amp;"'!$A:$A"),0))</f>
        <v>0.83333000000000002</v>
      </c>
      <c r="F234" s="17" cm="1">
        <f t="array" aca="1" ref="F234" ca="1">INDIRECT("'"&amp;$C234&amp;"'!"&amp;F$2&amp;MATCH($D234,INDIRECT("'"&amp;$C234&amp;"'!$A:$A"),0))</f>
        <v>0.9375</v>
      </c>
      <c r="G234" s="17" cm="1">
        <f t="array" aca="1" ref="G234" ca="1">INDIRECT("'"&amp;$C234&amp;"'!"&amp;G$2&amp;MATCH($D234,INDIRECT("'"&amp;$C234&amp;"'!$A:$A"),0))</f>
        <v>0.88234999999999997</v>
      </c>
      <c r="H234" s="17"/>
      <c r="I234" s="6" cm="1">
        <f t="array" aca="1" ref="I234" ca="1">INDIRECT("'"&amp;$C234&amp;"'!"&amp;I$2&amp;MATCH($D234,INDIRECT("'"&amp;$C234&amp;"'!$A:$A"),0))</f>
        <v>16</v>
      </c>
      <c r="J234" s="6" cm="1">
        <f t="array" aca="1" ref="J234" ca="1">INDIRECT("'"&amp;$C234&amp;"'!"&amp;J$2&amp;MATCH($D234,INDIRECT("'"&amp;$C234&amp;"'!$A:$A"),0))</f>
        <v>15</v>
      </c>
      <c r="K234" s="6" cm="1">
        <f t="array" aca="1" ref="K234" ca="1">INDIRECT("'"&amp;$C234&amp;"'!"&amp;K$2&amp;MATCH($D234,INDIRECT("'"&amp;$C234&amp;"'!$A:$A"),0))</f>
        <v>3</v>
      </c>
      <c r="L234" s="6" cm="1">
        <f t="array" aca="1" ref="L234" ca="1">INDIRECT("'"&amp;$C234&amp;"'!"&amp;L$2&amp;MATCH($D234,INDIRECT("'"&amp;$C234&amp;"'!$A:$A"),0))</f>
        <v>1</v>
      </c>
      <c r="M234" s="7"/>
      <c r="N234" s="9"/>
    </row>
    <row r="235" spans="2:14" x14ac:dyDescent="0.35">
      <c r="B235" s="25" t="s">
        <v>267</v>
      </c>
      <c r="C235" s="5" t="s">
        <v>234</v>
      </c>
      <c r="D235" s="7">
        <v>6</v>
      </c>
      <c r="E235" s="17" cm="1">
        <f t="array" aca="1" ref="E235" ca="1">INDIRECT("'"&amp;$C235&amp;"'!"&amp;E$2&amp;MATCH($D235,INDIRECT("'"&amp;$C235&amp;"'!$A:$A"),0))</f>
        <v>0.84211000000000003</v>
      </c>
      <c r="F235" s="17" cm="1">
        <f t="array" aca="1" ref="F235" ca="1">INDIRECT("'"&amp;$C235&amp;"'!"&amp;F$2&amp;MATCH($D235,INDIRECT("'"&amp;$C235&amp;"'!$A:$A"),0))</f>
        <v>1</v>
      </c>
      <c r="G235" s="17" cm="1">
        <f t="array" aca="1" ref="G235" ca="1">INDIRECT("'"&amp;$C235&amp;"'!"&amp;G$2&amp;MATCH($D235,INDIRECT("'"&amp;$C235&amp;"'!$A:$A"),0))</f>
        <v>0.91429000000000005</v>
      </c>
      <c r="H235" s="17"/>
      <c r="I235" s="6" cm="1">
        <f t="array" aca="1" ref="I235" ca="1">INDIRECT("'"&amp;$C235&amp;"'!"&amp;I$2&amp;MATCH($D235,INDIRECT("'"&amp;$C235&amp;"'!$A:$A"),0))</f>
        <v>16</v>
      </c>
      <c r="J235" s="6" cm="1">
        <f t="array" aca="1" ref="J235" ca="1">INDIRECT("'"&amp;$C235&amp;"'!"&amp;J$2&amp;MATCH($D235,INDIRECT("'"&amp;$C235&amp;"'!$A:$A"),0))</f>
        <v>16</v>
      </c>
      <c r="K235" s="6" cm="1">
        <f t="array" aca="1" ref="K235" ca="1">INDIRECT("'"&amp;$C235&amp;"'!"&amp;K$2&amp;MATCH($D235,INDIRECT("'"&amp;$C235&amp;"'!$A:$A"),0))</f>
        <v>3</v>
      </c>
      <c r="L235" s="6" cm="1">
        <f t="array" aca="1" ref="L235" ca="1">INDIRECT("'"&amp;$C235&amp;"'!"&amp;L$2&amp;MATCH($D235,INDIRECT("'"&amp;$C235&amp;"'!$A:$A"),0))</f>
        <v>0</v>
      </c>
      <c r="M235" s="7"/>
      <c r="N235" s="9"/>
    </row>
    <row r="236" spans="2:14" x14ac:dyDescent="0.35">
      <c r="B236" s="5" t="s">
        <v>270</v>
      </c>
      <c r="C236" s="5" t="s">
        <v>268</v>
      </c>
      <c r="D236" s="7">
        <v>6</v>
      </c>
      <c r="E236" s="17" cm="1">
        <f t="array" aca="1" ref="E236" ca="1">INDIRECT("'"&amp;$C236&amp;"'!"&amp;E$2&amp;MATCH($D236,INDIRECT("'"&amp;$C236&amp;"'!$A:$A"),0))</f>
        <v>0.76190000000000002</v>
      </c>
      <c r="F236" s="17" cm="1">
        <f t="array" aca="1" ref="F236" ca="1">INDIRECT("'"&amp;$C236&amp;"'!"&amp;F$2&amp;MATCH($D236,INDIRECT("'"&amp;$C236&amp;"'!$A:$A"),0))</f>
        <v>1</v>
      </c>
      <c r="G236" s="17" cm="1">
        <f t="array" aca="1" ref="G236" ca="1">INDIRECT("'"&amp;$C236&amp;"'!"&amp;G$2&amp;MATCH($D236,INDIRECT("'"&amp;$C236&amp;"'!$A:$A"),0))</f>
        <v>0.86485999999999996</v>
      </c>
      <c r="H236" s="17"/>
      <c r="I236" s="6" cm="1">
        <f t="array" aca="1" ref="I236" ca="1">INDIRECT("'"&amp;$C236&amp;"'!"&amp;I$2&amp;MATCH($D236,INDIRECT("'"&amp;$C236&amp;"'!$A:$A"),0))</f>
        <v>16</v>
      </c>
      <c r="J236" s="6" cm="1">
        <f t="array" aca="1" ref="J236" ca="1">INDIRECT("'"&amp;$C236&amp;"'!"&amp;J$2&amp;MATCH($D236,INDIRECT("'"&amp;$C236&amp;"'!$A:$A"),0))</f>
        <v>16</v>
      </c>
      <c r="K236" s="6" cm="1">
        <f t="array" aca="1" ref="K236" ca="1">INDIRECT("'"&amp;$C236&amp;"'!"&amp;K$2&amp;MATCH($D236,INDIRECT("'"&amp;$C236&amp;"'!$A:$A"),0))</f>
        <v>5</v>
      </c>
      <c r="L236" s="6" cm="1">
        <f t="array" aca="1" ref="L236" ca="1">INDIRECT("'"&amp;$C236&amp;"'!"&amp;L$2&amp;MATCH($D236,INDIRECT("'"&amp;$C236&amp;"'!$A:$A"),0))</f>
        <v>0</v>
      </c>
      <c r="M236" s="7"/>
      <c r="N236" s="9"/>
    </row>
    <row r="237" spans="2:14" x14ac:dyDescent="0.35">
      <c r="B237" s="25" t="s">
        <v>271</v>
      </c>
      <c r="C237" s="5" t="s">
        <v>269</v>
      </c>
      <c r="D237" s="7">
        <v>6</v>
      </c>
      <c r="E237" s="17" cm="1">
        <f t="array" aca="1" ref="E237" ca="1">INDIRECT("'"&amp;$C237&amp;"'!"&amp;E$2&amp;MATCH($D237,INDIRECT("'"&amp;$C237&amp;"'!$A:$A"),0))</f>
        <v>1</v>
      </c>
      <c r="F237" s="17" cm="1">
        <f t="array" aca="1" ref="F237" ca="1">INDIRECT("'"&amp;$C237&amp;"'!"&amp;F$2&amp;MATCH($D237,INDIRECT("'"&amp;$C237&amp;"'!$A:$A"),0))</f>
        <v>0.9375</v>
      </c>
      <c r="G237" s="17" cm="1">
        <f t="array" aca="1" ref="G237" ca="1">INDIRECT("'"&amp;$C237&amp;"'!"&amp;G$2&amp;MATCH($D237,INDIRECT("'"&amp;$C237&amp;"'!$A:$A"),0))</f>
        <v>0.96774000000000004</v>
      </c>
      <c r="H237" s="17"/>
      <c r="I237" s="6" cm="1">
        <f t="array" aca="1" ref="I237" ca="1">INDIRECT("'"&amp;$C237&amp;"'!"&amp;I$2&amp;MATCH($D237,INDIRECT("'"&amp;$C237&amp;"'!$A:$A"),0))</f>
        <v>16</v>
      </c>
      <c r="J237" s="6" cm="1">
        <f t="array" aca="1" ref="J237" ca="1">INDIRECT("'"&amp;$C237&amp;"'!"&amp;J$2&amp;MATCH($D237,INDIRECT("'"&amp;$C237&amp;"'!$A:$A"),0))</f>
        <v>15</v>
      </c>
      <c r="K237" s="6" cm="1">
        <f t="array" aca="1" ref="K237" ca="1">INDIRECT("'"&amp;$C237&amp;"'!"&amp;K$2&amp;MATCH($D237,INDIRECT("'"&amp;$C237&amp;"'!$A:$A"),0))</f>
        <v>0</v>
      </c>
      <c r="L237" s="6" cm="1">
        <f t="array" aca="1" ref="L237" ca="1">INDIRECT("'"&amp;$C237&amp;"'!"&amp;L$2&amp;MATCH($D237,INDIRECT("'"&amp;$C237&amp;"'!$A:$A"),0))</f>
        <v>1</v>
      </c>
      <c r="M237" s="7"/>
      <c r="N237" s="9"/>
    </row>
    <row r="238" spans="2:14" x14ac:dyDescent="0.35">
      <c r="D238" s="7"/>
      <c r="E238" s="17"/>
      <c r="F238" s="17"/>
      <c r="G238" s="17"/>
      <c r="H238" s="17"/>
      <c r="M238" s="7"/>
      <c r="N238" s="9"/>
    </row>
    <row r="240" spans="2:14" x14ac:dyDescent="0.35">
      <c r="B240" s="24" t="s">
        <v>246</v>
      </c>
      <c r="C240" s="5" t="s">
        <v>249</v>
      </c>
      <c r="D240" s="7">
        <v>7</v>
      </c>
      <c r="E240" s="17" cm="1">
        <f t="array" aca="1" ref="E240" ca="1">INDIRECT("'"&amp;$C240&amp;"'!"&amp;E$2&amp;MATCH($D240,INDIRECT("'"&amp;$C240&amp;"'!$A:$A"),0))</f>
        <v>0.54544999999999999</v>
      </c>
      <c r="F240" s="17" cm="1">
        <f t="array" aca="1" ref="F240" ca="1">INDIRECT("'"&amp;$C240&amp;"'!"&amp;F$2&amp;MATCH($D240,INDIRECT("'"&amp;$C240&amp;"'!$A:$A"),0))</f>
        <v>0.85714000000000001</v>
      </c>
      <c r="G240" s="17" cm="1">
        <f t="array" aca="1" ref="G240" ca="1">INDIRECT("'"&amp;$C240&amp;"'!"&amp;G$2&amp;MATCH($D240,INDIRECT("'"&amp;$C240&amp;"'!$A:$A"),0))</f>
        <v>0.66666999999999998</v>
      </c>
      <c r="H240" s="17"/>
      <c r="I240" s="6" cm="1">
        <f t="array" aca="1" ref="I240" ca="1">INDIRECT("'"&amp;$C240&amp;"'!"&amp;I$2&amp;MATCH($D240,INDIRECT("'"&amp;$C240&amp;"'!$A:$A"),0))</f>
        <v>7</v>
      </c>
      <c r="J240" s="6" cm="1">
        <f t="array" aca="1" ref="J240" ca="1">INDIRECT("'"&amp;$C240&amp;"'!"&amp;J$2&amp;MATCH($D240,INDIRECT("'"&amp;$C240&amp;"'!$A:$A"),0))</f>
        <v>6</v>
      </c>
      <c r="K240" s="6" cm="1">
        <f t="array" aca="1" ref="K240" ca="1">INDIRECT("'"&amp;$C240&amp;"'!"&amp;K$2&amp;MATCH($D240,INDIRECT("'"&amp;$C240&amp;"'!$A:$A"),0))</f>
        <v>5</v>
      </c>
      <c r="L240" s="6" cm="1">
        <f t="array" aca="1" ref="L240" ca="1">INDIRECT("'"&amp;$C240&amp;"'!"&amp;L$2&amp;MATCH($D240,INDIRECT("'"&amp;$C240&amp;"'!$A:$A"),0))</f>
        <v>1</v>
      </c>
    </row>
    <row r="241" spans="2:12" x14ac:dyDescent="0.35">
      <c r="B241" s="25" t="s">
        <v>251</v>
      </c>
      <c r="C241" s="5" t="s">
        <v>250</v>
      </c>
      <c r="D241" s="7">
        <v>7</v>
      </c>
      <c r="E241" s="17" cm="1">
        <f t="array" aca="1" ref="E241" ca="1">INDIRECT("'"&amp;$C241&amp;"'!"&amp;E$2&amp;MATCH($D241,INDIRECT("'"&amp;$C241&amp;"'!$A:$A"),0))</f>
        <v>0.5</v>
      </c>
      <c r="F241" s="17" cm="1">
        <f t="array" aca="1" ref="F241" ca="1">INDIRECT("'"&amp;$C241&amp;"'!"&amp;F$2&amp;MATCH($D241,INDIRECT("'"&amp;$C241&amp;"'!$A:$A"),0))</f>
        <v>0.85714000000000001</v>
      </c>
      <c r="G241" s="17" cm="1">
        <f t="array" aca="1" ref="G241" ca="1">INDIRECT("'"&amp;$C241&amp;"'!"&amp;G$2&amp;MATCH($D241,INDIRECT("'"&amp;$C241&amp;"'!$A:$A"),0))</f>
        <v>0.63158000000000003</v>
      </c>
      <c r="H241" s="17"/>
      <c r="I241" s="6" cm="1">
        <f t="array" aca="1" ref="I241" ca="1">INDIRECT("'"&amp;$C241&amp;"'!"&amp;I$2&amp;MATCH($D241,INDIRECT("'"&amp;$C241&amp;"'!$A:$A"),0))</f>
        <v>7</v>
      </c>
      <c r="J241" s="6" cm="1">
        <f t="array" aca="1" ref="J241" ca="1">INDIRECT("'"&amp;$C241&amp;"'!"&amp;J$2&amp;MATCH($D241,INDIRECT("'"&amp;$C241&amp;"'!$A:$A"),0))</f>
        <v>6</v>
      </c>
      <c r="K241" s="6" cm="1">
        <f t="array" aca="1" ref="K241" ca="1">INDIRECT("'"&amp;$C241&amp;"'!"&amp;K$2&amp;MATCH($D241,INDIRECT("'"&amp;$C241&amp;"'!$A:$A"),0))</f>
        <v>6</v>
      </c>
      <c r="L241" s="6" cm="1">
        <f t="array" aca="1" ref="L241" ca="1">INDIRECT("'"&amp;$C241&amp;"'!"&amp;L$2&amp;MATCH($D241,INDIRECT("'"&amp;$C241&amp;"'!$A:$A"),0))</f>
        <v>1</v>
      </c>
    </row>
    <row r="242" spans="2:12" x14ac:dyDescent="0.35">
      <c r="B242" s="5" t="s">
        <v>252</v>
      </c>
      <c r="C242" s="5" t="s">
        <v>221</v>
      </c>
      <c r="D242" s="7">
        <v>7</v>
      </c>
      <c r="E242" s="17" cm="1">
        <f t="array" aca="1" ref="E242" ca="1">INDIRECT("'"&amp;$C242&amp;"'!"&amp;E$2&amp;MATCH($D242,INDIRECT("'"&amp;$C242&amp;"'!$A:$A"),0))</f>
        <v>5.0360000000000002E-2</v>
      </c>
      <c r="F242" s="17" cm="1">
        <f t="array" aca="1" ref="F242" ca="1">INDIRECT("'"&amp;$C242&amp;"'!"&amp;F$2&amp;MATCH($D242,INDIRECT("'"&amp;$C242&amp;"'!$A:$A"),0))</f>
        <v>1</v>
      </c>
      <c r="G242" s="17" cm="1">
        <f t="array" aca="1" ref="G242" ca="1">INDIRECT("'"&amp;$C242&amp;"'!"&amp;G$2&amp;MATCH($D242,INDIRECT("'"&amp;$C242&amp;"'!$A:$A"),0))</f>
        <v>9.5890000000000003E-2</v>
      </c>
      <c r="H242" s="17"/>
      <c r="I242" s="6" cm="1">
        <f t="array" aca="1" ref="I242" ca="1">INDIRECT("'"&amp;$C242&amp;"'!"&amp;I$2&amp;MATCH($D242,INDIRECT("'"&amp;$C242&amp;"'!$A:$A"),0))</f>
        <v>7</v>
      </c>
      <c r="J242" s="6" cm="1">
        <f t="array" aca="1" ref="J242" ca="1">INDIRECT("'"&amp;$C242&amp;"'!"&amp;J$2&amp;MATCH($D242,INDIRECT("'"&amp;$C242&amp;"'!$A:$A"),0))</f>
        <v>7</v>
      </c>
      <c r="K242" s="6" cm="1">
        <f t="array" aca="1" ref="K242" ca="1">INDIRECT("'"&amp;$C242&amp;"'!"&amp;K$2&amp;MATCH($D242,INDIRECT("'"&amp;$C242&amp;"'!$A:$A"),0))</f>
        <v>132</v>
      </c>
      <c r="L242" s="6" cm="1">
        <f t="array" aca="1" ref="L242" ca="1">INDIRECT("'"&amp;$C242&amp;"'!"&amp;L$2&amp;MATCH($D242,INDIRECT("'"&amp;$C242&amp;"'!$A:$A"),0))</f>
        <v>0</v>
      </c>
    </row>
    <row r="243" spans="2:12" x14ac:dyDescent="0.35">
      <c r="B243" s="5" t="s">
        <v>254</v>
      </c>
      <c r="C243" s="5" t="s">
        <v>220</v>
      </c>
      <c r="D243" s="7">
        <v>7</v>
      </c>
      <c r="E243" s="17" cm="1">
        <f t="array" aca="1" ref="E243" ca="1">INDIRECT("'"&amp;$C243&amp;"'!"&amp;E$2&amp;MATCH($D243,INDIRECT("'"&amp;$C243&amp;"'!$A:$A"),0))</f>
        <v>6.6040000000000001E-2</v>
      </c>
      <c r="F243" s="17" cm="1">
        <f t="array" aca="1" ref="F243" ca="1">INDIRECT("'"&amp;$C243&amp;"'!"&amp;F$2&amp;MATCH($D243,INDIRECT("'"&amp;$C243&amp;"'!$A:$A"),0))</f>
        <v>1</v>
      </c>
      <c r="G243" s="17" cm="1">
        <f t="array" aca="1" ref="G243" ca="1">INDIRECT("'"&amp;$C243&amp;"'!"&amp;G$2&amp;MATCH($D243,INDIRECT("'"&amp;$C243&amp;"'!$A:$A"),0))</f>
        <v>0.12389</v>
      </c>
      <c r="H243" s="17"/>
      <c r="I243" s="6" cm="1">
        <f t="array" aca="1" ref="I243" ca="1">INDIRECT("'"&amp;$C243&amp;"'!"&amp;I$2&amp;MATCH($D243,INDIRECT("'"&amp;$C243&amp;"'!$A:$A"),0))</f>
        <v>7</v>
      </c>
      <c r="J243" s="6" cm="1">
        <f t="array" aca="1" ref="J243" ca="1">INDIRECT("'"&amp;$C243&amp;"'!"&amp;J$2&amp;MATCH($D243,INDIRECT("'"&amp;$C243&amp;"'!$A:$A"),0))</f>
        <v>7</v>
      </c>
      <c r="K243" s="6" cm="1">
        <f t="array" aca="1" ref="K243" ca="1">INDIRECT("'"&amp;$C243&amp;"'!"&amp;K$2&amp;MATCH($D243,INDIRECT("'"&amp;$C243&amp;"'!$A:$A"),0))</f>
        <v>99</v>
      </c>
      <c r="L243" s="6" cm="1">
        <f t="array" aca="1" ref="L243" ca="1">INDIRECT("'"&amp;$C243&amp;"'!"&amp;L$2&amp;MATCH($D243,INDIRECT("'"&amp;$C243&amp;"'!$A:$A"),0))</f>
        <v>0</v>
      </c>
    </row>
    <row r="244" spans="2:12" x14ac:dyDescent="0.35">
      <c r="B244" s="5" t="s">
        <v>253</v>
      </c>
      <c r="C244" s="5" t="s">
        <v>219</v>
      </c>
      <c r="D244" s="7">
        <v>7</v>
      </c>
      <c r="E244" s="17" cm="1">
        <f t="array" aca="1" ref="E244" ca="1">INDIRECT("'"&amp;$C244&amp;"'!"&amp;E$2&amp;MATCH($D244,INDIRECT("'"&amp;$C244&amp;"'!$A:$A"),0))</f>
        <v>8.6419999999999997E-2</v>
      </c>
      <c r="F244" s="17" cm="1">
        <f t="array" aca="1" ref="F244" ca="1">INDIRECT("'"&amp;$C244&amp;"'!"&amp;F$2&amp;MATCH($D244,INDIRECT("'"&amp;$C244&amp;"'!$A:$A"),0))</f>
        <v>1</v>
      </c>
      <c r="G244" s="17" cm="1">
        <f t="array" aca="1" ref="G244" ca="1">INDIRECT("'"&amp;$C244&amp;"'!"&amp;G$2&amp;MATCH($D244,INDIRECT("'"&amp;$C244&amp;"'!$A:$A"),0))</f>
        <v>0.15909000000000001</v>
      </c>
      <c r="H244" s="17"/>
      <c r="I244" s="6" cm="1">
        <f t="array" aca="1" ref="I244" ca="1">INDIRECT("'"&amp;$C244&amp;"'!"&amp;I$2&amp;MATCH($D244,INDIRECT("'"&amp;$C244&amp;"'!$A:$A"),0))</f>
        <v>7</v>
      </c>
      <c r="J244" s="6" cm="1">
        <f t="array" aca="1" ref="J244" ca="1">INDIRECT("'"&amp;$C244&amp;"'!"&amp;J$2&amp;MATCH($D244,INDIRECT("'"&amp;$C244&amp;"'!$A:$A"),0))</f>
        <v>7</v>
      </c>
      <c r="K244" s="6" cm="1">
        <f t="array" aca="1" ref="K244" ca="1">INDIRECT("'"&amp;$C244&amp;"'!"&amp;K$2&amp;MATCH($D244,INDIRECT("'"&amp;$C244&amp;"'!$A:$A"),0))</f>
        <v>74</v>
      </c>
      <c r="L244" s="6" cm="1">
        <f t="array" aca="1" ref="L244" ca="1">INDIRECT("'"&amp;$C244&amp;"'!"&amp;L$2&amp;MATCH($D244,INDIRECT("'"&amp;$C244&amp;"'!$A:$A"),0))</f>
        <v>0</v>
      </c>
    </row>
    <row r="245" spans="2:12" x14ac:dyDescent="0.35">
      <c r="B245" s="24" t="s">
        <v>259</v>
      </c>
      <c r="C245" s="5" t="s">
        <v>228</v>
      </c>
      <c r="D245" s="7">
        <v>7</v>
      </c>
      <c r="E245" s="17" cm="1">
        <f t="array" aca="1" ref="E245" ca="1">INDIRECT("'"&amp;$C245&amp;"'!"&amp;E$2&amp;MATCH($D245,INDIRECT("'"&amp;$C245&amp;"'!$A:$A"),0))</f>
        <v>0.14000000000000001</v>
      </c>
      <c r="F245" s="17" cm="1">
        <f t="array" aca="1" ref="F245" ca="1">INDIRECT("'"&amp;$C245&amp;"'!"&amp;F$2&amp;MATCH($D245,INDIRECT("'"&amp;$C245&amp;"'!$A:$A"),0))</f>
        <v>1</v>
      </c>
      <c r="G245" s="17" cm="1">
        <f t="array" aca="1" ref="G245" ca="1">INDIRECT("'"&amp;$C245&amp;"'!"&amp;G$2&amp;MATCH($D245,INDIRECT("'"&amp;$C245&amp;"'!$A:$A"),0))</f>
        <v>0.24560999999999999</v>
      </c>
      <c r="H245" s="17"/>
      <c r="I245" s="6" cm="1">
        <f t="array" aca="1" ref="I245" ca="1">INDIRECT("'"&amp;$C245&amp;"'!"&amp;I$2&amp;MATCH($D245,INDIRECT("'"&amp;$C245&amp;"'!$A:$A"),0))</f>
        <v>7</v>
      </c>
      <c r="J245" s="6" cm="1">
        <f t="array" aca="1" ref="J245" ca="1">INDIRECT("'"&amp;$C245&amp;"'!"&amp;J$2&amp;MATCH($D245,INDIRECT("'"&amp;$C245&amp;"'!$A:$A"),0))</f>
        <v>7</v>
      </c>
      <c r="K245" s="6" cm="1">
        <f t="array" aca="1" ref="K245" ca="1">INDIRECT("'"&amp;$C245&amp;"'!"&amp;K$2&amp;MATCH($D245,INDIRECT("'"&amp;$C245&amp;"'!$A:$A"),0))</f>
        <v>43</v>
      </c>
      <c r="L245" s="6" cm="1">
        <f t="array" aca="1" ref="L245" ca="1">INDIRECT("'"&amp;$C245&amp;"'!"&amp;L$2&amp;MATCH($D245,INDIRECT("'"&amp;$C245&amp;"'!$A:$A"),0))</f>
        <v>0</v>
      </c>
    </row>
    <row r="246" spans="2:12" x14ac:dyDescent="0.35">
      <c r="B246" s="5" t="s">
        <v>255</v>
      </c>
      <c r="C246" s="5" t="s">
        <v>218</v>
      </c>
      <c r="D246" s="7">
        <v>7</v>
      </c>
      <c r="E246" s="17" cm="1">
        <f t="array" aca="1" ref="E246" ca="1">INDIRECT("'"&amp;$C246&amp;"'!"&amp;E$2&amp;MATCH($D246,INDIRECT("'"&amp;$C246&amp;"'!$A:$A"),0))</f>
        <v>5.3440000000000001E-2</v>
      </c>
      <c r="F246" s="17" cm="1">
        <f t="array" aca="1" ref="F246" ca="1">INDIRECT("'"&amp;$C246&amp;"'!"&amp;F$2&amp;MATCH($D246,INDIRECT("'"&amp;$C246&amp;"'!$A:$A"),0))</f>
        <v>1</v>
      </c>
      <c r="G246" s="17" cm="1">
        <f t="array" aca="1" ref="G246" ca="1">INDIRECT("'"&amp;$C246&amp;"'!"&amp;G$2&amp;MATCH($D246,INDIRECT("'"&amp;$C246&amp;"'!$A:$A"),0))</f>
        <v>0.10145</v>
      </c>
      <c r="H246" s="17"/>
      <c r="I246" s="6" cm="1">
        <f t="array" aca="1" ref="I246" ca="1">INDIRECT("'"&amp;$C246&amp;"'!"&amp;I$2&amp;MATCH($D246,INDIRECT("'"&amp;$C246&amp;"'!$A:$A"),0))</f>
        <v>7</v>
      </c>
      <c r="J246" s="6" cm="1">
        <f t="array" aca="1" ref="J246" ca="1">INDIRECT("'"&amp;$C246&amp;"'!"&amp;J$2&amp;MATCH($D246,INDIRECT("'"&amp;$C246&amp;"'!$A:$A"),0))</f>
        <v>7</v>
      </c>
      <c r="K246" s="6" cm="1">
        <f t="array" aca="1" ref="K246" ca="1">INDIRECT("'"&amp;$C246&amp;"'!"&amp;K$2&amp;MATCH($D246,INDIRECT("'"&amp;$C246&amp;"'!$A:$A"),0))</f>
        <v>124</v>
      </c>
      <c r="L246" s="6" cm="1">
        <f t="array" aca="1" ref="L246" ca="1">INDIRECT("'"&amp;$C246&amp;"'!"&amp;L$2&amp;MATCH($D246,INDIRECT("'"&amp;$C246&amp;"'!$A:$A"),0))</f>
        <v>0</v>
      </c>
    </row>
    <row r="247" spans="2:12" x14ac:dyDescent="0.35">
      <c r="B247" s="5" t="s">
        <v>256</v>
      </c>
      <c r="C247" s="5" t="s">
        <v>217</v>
      </c>
      <c r="D247" s="7">
        <v>7</v>
      </c>
      <c r="E247" s="17" cm="1">
        <f t="array" aca="1" ref="E247" ca="1">INDIRECT("'"&amp;$C247&amp;"'!"&amp;E$2&amp;MATCH($D247,INDIRECT("'"&amp;$C247&amp;"'!$A:$A"),0))</f>
        <v>7.4469999999999995E-2</v>
      </c>
      <c r="F247" s="17" cm="1">
        <f t="array" aca="1" ref="F247" ca="1">INDIRECT("'"&amp;$C247&amp;"'!"&amp;F$2&amp;MATCH($D247,INDIRECT("'"&amp;$C247&amp;"'!$A:$A"),0))</f>
        <v>1</v>
      </c>
      <c r="G247" s="17" cm="1">
        <f t="array" aca="1" ref="G247" ca="1">INDIRECT("'"&amp;$C247&amp;"'!"&amp;G$2&amp;MATCH($D247,INDIRECT("'"&amp;$C247&amp;"'!$A:$A"),0))</f>
        <v>0.13861000000000001</v>
      </c>
      <c r="H247" s="17"/>
      <c r="I247" s="6" cm="1">
        <f t="array" aca="1" ref="I247" ca="1">INDIRECT("'"&amp;$C247&amp;"'!"&amp;I$2&amp;MATCH($D247,INDIRECT("'"&amp;$C247&amp;"'!$A:$A"),0))</f>
        <v>7</v>
      </c>
      <c r="J247" s="6" cm="1">
        <f t="array" aca="1" ref="J247" ca="1">INDIRECT("'"&amp;$C247&amp;"'!"&amp;J$2&amp;MATCH($D247,INDIRECT("'"&amp;$C247&amp;"'!$A:$A"),0))</f>
        <v>7</v>
      </c>
      <c r="K247" s="6" cm="1">
        <f t="array" aca="1" ref="K247" ca="1">INDIRECT("'"&amp;$C247&amp;"'!"&amp;K$2&amp;MATCH($D247,INDIRECT("'"&amp;$C247&amp;"'!$A:$A"),0))</f>
        <v>87</v>
      </c>
      <c r="L247" s="6" cm="1">
        <f t="array" aca="1" ref="L247" ca="1">INDIRECT("'"&amp;$C247&amp;"'!"&amp;L$2&amp;MATCH($D247,INDIRECT("'"&amp;$C247&amp;"'!$A:$A"),0))</f>
        <v>0</v>
      </c>
    </row>
    <row r="248" spans="2:12" x14ac:dyDescent="0.35">
      <c r="B248" s="5" t="s">
        <v>257</v>
      </c>
      <c r="C248" s="5" t="s">
        <v>216</v>
      </c>
      <c r="D248" s="7">
        <v>7</v>
      </c>
      <c r="E248" s="17" cm="1">
        <f t="array" aca="1" ref="E248" ca="1">INDIRECT("'"&amp;$C248&amp;"'!"&amp;E$2&amp;MATCH($D248,INDIRECT("'"&amp;$C248&amp;"'!$A:$A"),0))</f>
        <v>6.7960000000000007E-2</v>
      </c>
      <c r="F248" s="17" cm="1">
        <f t="array" aca="1" ref="F248" ca="1">INDIRECT("'"&amp;$C248&amp;"'!"&amp;F$2&amp;MATCH($D248,INDIRECT("'"&amp;$C248&amp;"'!$A:$A"),0))</f>
        <v>1</v>
      </c>
      <c r="G248" s="17" cm="1">
        <f t="array" aca="1" ref="G248" ca="1">INDIRECT("'"&amp;$C248&amp;"'!"&amp;G$2&amp;MATCH($D248,INDIRECT("'"&amp;$C248&amp;"'!$A:$A"),0))</f>
        <v>0.12726999999999999</v>
      </c>
      <c r="H248" s="17"/>
      <c r="I248" s="6" cm="1">
        <f t="array" aca="1" ref="I248" ca="1">INDIRECT("'"&amp;$C248&amp;"'!"&amp;I$2&amp;MATCH($D248,INDIRECT("'"&amp;$C248&amp;"'!$A:$A"),0))</f>
        <v>7</v>
      </c>
      <c r="J248" s="6" cm="1">
        <f t="array" aca="1" ref="J248" ca="1">INDIRECT("'"&amp;$C248&amp;"'!"&amp;J$2&amp;MATCH($D248,INDIRECT("'"&amp;$C248&amp;"'!$A:$A"),0))</f>
        <v>7</v>
      </c>
      <c r="K248" s="6" cm="1">
        <f t="array" aca="1" ref="K248" ca="1">INDIRECT("'"&amp;$C248&amp;"'!"&amp;K$2&amp;MATCH($D248,INDIRECT("'"&amp;$C248&amp;"'!$A:$A"),0))</f>
        <v>96</v>
      </c>
      <c r="L248" s="6" cm="1">
        <f t="array" aca="1" ref="L248" ca="1">INDIRECT("'"&amp;$C248&amp;"'!"&amp;L$2&amp;MATCH($D248,INDIRECT("'"&amp;$C248&amp;"'!$A:$A"),0))</f>
        <v>0</v>
      </c>
    </row>
    <row r="249" spans="2:12" x14ac:dyDescent="0.35">
      <c r="B249" s="5" t="s">
        <v>258</v>
      </c>
      <c r="C249" s="5" t="s">
        <v>227</v>
      </c>
      <c r="D249" s="7">
        <v>7</v>
      </c>
      <c r="E249" s="17" cm="1">
        <f t="array" aca="1" ref="E249" ca="1">INDIRECT("'"&amp;$C249&amp;"'!"&amp;E$2&amp;MATCH($D249,INDIRECT("'"&amp;$C249&amp;"'!$A:$A"),0))</f>
        <v>9.8589999999999997E-2</v>
      </c>
      <c r="F249" s="17" cm="1">
        <f t="array" aca="1" ref="F249" ca="1">INDIRECT("'"&amp;$C249&amp;"'!"&amp;F$2&amp;MATCH($D249,INDIRECT("'"&amp;$C249&amp;"'!$A:$A"),0))</f>
        <v>1</v>
      </c>
      <c r="G249" s="17" cm="1">
        <f t="array" aca="1" ref="G249" ca="1">INDIRECT("'"&amp;$C249&amp;"'!"&amp;G$2&amp;MATCH($D249,INDIRECT("'"&amp;$C249&amp;"'!$A:$A"),0))</f>
        <v>0.17949000000000001</v>
      </c>
      <c r="H249" s="17"/>
      <c r="I249" s="6" cm="1">
        <f t="array" aca="1" ref="I249" ca="1">INDIRECT("'"&amp;$C249&amp;"'!"&amp;I$2&amp;MATCH($D249,INDIRECT("'"&amp;$C249&amp;"'!$A:$A"),0))</f>
        <v>7</v>
      </c>
      <c r="J249" s="6" cm="1">
        <f t="array" aca="1" ref="J249" ca="1">INDIRECT("'"&amp;$C249&amp;"'!"&amp;J$2&amp;MATCH($D249,INDIRECT("'"&amp;$C249&amp;"'!$A:$A"),0))</f>
        <v>7</v>
      </c>
      <c r="K249" s="6" cm="1">
        <f t="array" aca="1" ref="K249" ca="1">INDIRECT("'"&amp;$C249&amp;"'!"&amp;K$2&amp;MATCH($D249,INDIRECT("'"&amp;$C249&amp;"'!$A:$A"),0))</f>
        <v>64</v>
      </c>
      <c r="L249" s="6" cm="1">
        <f t="array" aca="1" ref="L249" ca="1">INDIRECT("'"&amp;$C249&amp;"'!"&amp;L$2&amp;MATCH($D249,INDIRECT("'"&amp;$C249&amp;"'!$A:$A"),0))</f>
        <v>0</v>
      </c>
    </row>
    <row r="250" spans="2:12" x14ac:dyDescent="0.35">
      <c r="B250" s="25" t="s">
        <v>260</v>
      </c>
      <c r="C250" s="5" t="s">
        <v>247</v>
      </c>
      <c r="D250" s="7">
        <v>7</v>
      </c>
      <c r="E250" s="17" cm="1">
        <f t="array" aca="1" ref="E250" ca="1">INDIRECT("'"&amp;$C250&amp;"'!"&amp;E$2&amp;MATCH($D250,INDIRECT("'"&amp;$C250&amp;"'!$A:$A"),0))</f>
        <v>0.2</v>
      </c>
      <c r="F250" s="17" cm="1">
        <f t="array" aca="1" ref="F250" ca="1">INDIRECT("'"&amp;$C250&amp;"'!"&amp;F$2&amp;MATCH($D250,INDIRECT("'"&amp;$C250&amp;"'!$A:$A"),0))</f>
        <v>0.85714000000000001</v>
      </c>
      <c r="G250" s="17" cm="1">
        <f t="array" aca="1" ref="G250" ca="1">INDIRECT("'"&amp;$C250&amp;"'!"&amp;G$2&amp;MATCH($D250,INDIRECT("'"&amp;$C250&amp;"'!$A:$A"),0))</f>
        <v>0.32432</v>
      </c>
      <c r="H250" s="17"/>
      <c r="I250" s="6" cm="1">
        <f t="array" aca="1" ref="I250" ca="1">INDIRECT("'"&amp;$C250&amp;"'!"&amp;I$2&amp;MATCH($D250,INDIRECT("'"&amp;$C250&amp;"'!$A:$A"),0))</f>
        <v>7</v>
      </c>
      <c r="J250" s="6" cm="1">
        <f t="array" aca="1" ref="J250" ca="1">INDIRECT("'"&amp;$C250&amp;"'!"&amp;J$2&amp;MATCH($D250,INDIRECT("'"&amp;$C250&amp;"'!$A:$A"),0))</f>
        <v>6</v>
      </c>
      <c r="K250" s="6" cm="1">
        <f t="array" aca="1" ref="K250" ca="1">INDIRECT("'"&amp;$C250&amp;"'!"&amp;K$2&amp;MATCH($D250,INDIRECT("'"&amp;$C250&amp;"'!$A:$A"),0))</f>
        <v>24</v>
      </c>
      <c r="L250" s="6" cm="1">
        <f t="array" aca="1" ref="L250" ca="1">INDIRECT("'"&amp;$C250&amp;"'!"&amp;L$2&amp;MATCH($D250,INDIRECT("'"&amp;$C250&amp;"'!$A:$A"),0))</f>
        <v>1</v>
      </c>
    </row>
    <row r="251" spans="2:12" x14ac:dyDescent="0.35">
      <c r="B251" s="25" t="s">
        <v>261</v>
      </c>
      <c r="C251" s="5" t="s">
        <v>248</v>
      </c>
      <c r="D251" s="7">
        <v>7</v>
      </c>
      <c r="E251" s="17" cm="1">
        <f t="array" aca="1" ref="E251" ca="1">INDIRECT("'"&amp;$C251&amp;"'!"&amp;E$2&amp;MATCH($D251,INDIRECT("'"&amp;$C251&amp;"'!$A:$A"),0))</f>
        <v>0.25</v>
      </c>
      <c r="F251" s="17" cm="1">
        <f t="array" aca="1" ref="F251" ca="1">INDIRECT("'"&amp;$C251&amp;"'!"&amp;F$2&amp;MATCH($D251,INDIRECT("'"&amp;$C251&amp;"'!$A:$A"),0))</f>
        <v>0.71428999999999998</v>
      </c>
      <c r="G251" s="17" cm="1">
        <f t="array" aca="1" ref="G251" ca="1">INDIRECT("'"&amp;$C251&amp;"'!"&amp;G$2&amp;MATCH($D251,INDIRECT("'"&amp;$C251&amp;"'!$A:$A"),0))</f>
        <v>0.37036999999999998</v>
      </c>
      <c r="H251" s="17"/>
      <c r="I251" s="6" cm="1">
        <f t="array" aca="1" ref="I251" ca="1">INDIRECT("'"&amp;$C251&amp;"'!"&amp;I$2&amp;MATCH($D251,INDIRECT("'"&amp;$C251&amp;"'!$A:$A"),0))</f>
        <v>7</v>
      </c>
      <c r="J251" s="6" cm="1">
        <f t="array" aca="1" ref="J251" ca="1">INDIRECT("'"&amp;$C251&amp;"'!"&amp;J$2&amp;MATCH($D251,INDIRECT("'"&amp;$C251&amp;"'!$A:$A"),0))</f>
        <v>5</v>
      </c>
      <c r="K251" s="6" cm="1">
        <f t="array" aca="1" ref="K251" ca="1">INDIRECT("'"&amp;$C251&amp;"'!"&amp;K$2&amp;MATCH($D251,INDIRECT("'"&amp;$C251&amp;"'!$A:$A"),0))</f>
        <v>15</v>
      </c>
      <c r="L251" s="6" cm="1">
        <f t="array" aca="1" ref="L251" ca="1">INDIRECT("'"&amp;$C251&amp;"'!"&amp;L$2&amp;MATCH($D251,INDIRECT("'"&amp;$C251&amp;"'!$A:$A"),0))</f>
        <v>2</v>
      </c>
    </row>
    <row r="252" spans="2:12" x14ac:dyDescent="0.35">
      <c r="B252" s="5" t="s">
        <v>282</v>
      </c>
      <c r="C252" s="5" t="s">
        <v>285</v>
      </c>
      <c r="D252" s="7">
        <v>7</v>
      </c>
      <c r="E252" s="17" cm="1">
        <f t="array" aca="1" ref="E252" ca="1">INDIRECT("'"&amp;$C252&amp;"'!"&amp;E$2&amp;MATCH($D252,INDIRECT("'"&amp;$C252&amp;"'!$A:$A"),0))</f>
        <v>8.974E-2</v>
      </c>
      <c r="F252" s="17" cm="1">
        <f t="array" aca="1" ref="F252" ca="1">INDIRECT("'"&amp;$C252&amp;"'!"&amp;F$2&amp;MATCH($D252,INDIRECT("'"&amp;$C252&amp;"'!$A:$A"),0))</f>
        <v>1</v>
      </c>
      <c r="G252" s="17" cm="1">
        <f t="array" aca="1" ref="G252" ca="1">INDIRECT("'"&amp;$C252&amp;"'!"&amp;G$2&amp;MATCH($D252,INDIRECT("'"&amp;$C252&amp;"'!$A:$A"),0))</f>
        <v>0.16471</v>
      </c>
      <c r="H252" s="17"/>
      <c r="I252" s="6" cm="1">
        <f t="array" aca="1" ref="I252" ca="1">INDIRECT("'"&amp;$C252&amp;"'!"&amp;I$2&amp;MATCH($D252,INDIRECT("'"&amp;$C252&amp;"'!$A:$A"),0))</f>
        <v>7</v>
      </c>
      <c r="J252" s="6" cm="1">
        <f t="array" aca="1" ref="J252" ca="1">INDIRECT("'"&amp;$C252&amp;"'!"&amp;J$2&amp;MATCH($D252,INDIRECT("'"&amp;$C252&amp;"'!$A:$A"),0))</f>
        <v>7</v>
      </c>
      <c r="K252" s="6" cm="1">
        <f t="array" aca="1" ref="K252" ca="1">INDIRECT("'"&amp;$C252&amp;"'!"&amp;K$2&amp;MATCH($D252,INDIRECT("'"&amp;$C252&amp;"'!$A:$A"),0))</f>
        <v>71</v>
      </c>
      <c r="L252" s="6" cm="1">
        <f t="array" aca="1" ref="L252" ca="1">INDIRECT("'"&amp;$C252&amp;"'!"&amp;L$2&amp;MATCH($D252,INDIRECT("'"&amp;$C252&amp;"'!$A:$A"),0))</f>
        <v>0</v>
      </c>
    </row>
    <row r="253" spans="2:12" x14ac:dyDescent="0.35">
      <c r="B253" s="5" t="s">
        <v>283</v>
      </c>
      <c r="C253" s="5" t="s">
        <v>286</v>
      </c>
      <c r="D253" s="7">
        <v>7</v>
      </c>
      <c r="E253" s="17" cm="1">
        <f t="array" aca="1" ref="E253" ca="1">INDIRECT("'"&amp;$C253&amp;"'!"&amp;E$2&amp;MATCH($D253,INDIRECT("'"&amp;$C253&amp;"'!$A:$A"),0))</f>
        <v>6.5420000000000006E-2</v>
      </c>
      <c r="F253" s="17" cm="1">
        <f t="array" aca="1" ref="F253" ca="1">INDIRECT("'"&amp;$C253&amp;"'!"&amp;F$2&amp;MATCH($D253,INDIRECT("'"&amp;$C253&amp;"'!$A:$A"),0))</f>
        <v>1</v>
      </c>
      <c r="G253" s="17" cm="1">
        <f t="array" aca="1" ref="G253" ca="1">INDIRECT("'"&amp;$C253&amp;"'!"&amp;G$2&amp;MATCH($D253,INDIRECT("'"&amp;$C253&amp;"'!$A:$A"),0))</f>
        <v>0.12281</v>
      </c>
      <c r="H253" s="17"/>
      <c r="I253" s="6" cm="1">
        <f t="array" aca="1" ref="I253" ca="1">INDIRECT("'"&amp;$C253&amp;"'!"&amp;I$2&amp;MATCH($D253,INDIRECT("'"&amp;$C253&amp;"'!$A:$A"),0))</f>
        <v>7</v>
      </c>
      <c r="J253" s="6" cm="1">
        <f t="array" aca="1" ref="J253" ca="1">INDIRECT("'"&amp;$C253&amp;"'!"&amp;J$2&amp;MATCH($D253,INDIRECT("'"&amp;$C253&amp;"'!$A:$A"),0))</f>
        <v>7</v>
      </c>
      <c r="K253" s="6" cm="1">
        <f t="array" aca="1" ref="K253" ca="1">INDIRECT("'"&amp;$C253&amp;"'!"&amp;K$2&amp;MATCH($D253,INDIRECT("'"&amp;$C253&amp;"'!$A:$A"),0))</f>
        <v>100</v>
      </c>
      <c r="L253" s="6" cm="1">
        <f t="array" aca="1" ref="L253" ca="1">INDIRECT("'"&amp;$C253&amp;"'!"&amp;L$2&amp;MATCH($D253,INDIRECT("'"&amp;$C253&amp;"'!$A:$A"),0))</f>
        <v>0</v>
      </c>
    </row>
    <row r="254" spans="2:12" x14ac:dyDescent="0.35">
      <c r="B254" s="5" t="s">
        <v>284</v>
      </c>
      <c r="C254" s="5" t="s">
        <v>287</v>
      </c>
      <c r="D254" s="7">
        <v>7</v>
      </c>
      <c r="E254" s="17" cm="1">
        <f t="array" aca="1" ref="E254" ca="1">INDIRECT("'"&amp;$C254&amp;"'!"&amp;E$2&amp;MATCH($D254,INDIRECT("'"&amp;$C254&amp;"'!$A:$A"),0))</f>
        <v>6.0339999999999998E-2</v>
      </c>
      <c r="F254" s="17" cm="1">
        <f t="array" aca="1" ref="F254" ca="1">INDIRECT("'"&amp;$C254&amp;"'!"&amp;F$2&amp;MATCH($D254,INDIRECT("'"&amp;$C254&amp;"'!$A:$A"),0))</f>
        <v>1</v>
      </c>
      <c r="G254" s="17" cm="1">
        <f t="array" aca="1" ref="G254" ca="1">INDIRECT("'"&amp;$C254&amp;"'!"&amp;G$2&amp;MATCH($D254,INDIRECT("'"&amp;$C254&amp;"'!$A:$A"),0))</f>
        <v>0.11382</v>
      </c>
      <c r="H254" s="17"/>
      <c r="I254" s="6" cm="1">
        <f t="array" aca="1" ref="I254" ca="1">INDIRECT("'"&amp;$C254&amp;"'!"&amp;I$2&amp;MATCH($D254,INDIRECT("'"&amp;$C254&amp;"'!$A:$A"),0))</f>
        <v>7</v>
      </c>
      <c r="J254" s="6" cm="1">
        <f t="array" aca="1" ref="J254" ca="1">INDIRECT("'"&amp;$C254&amp;"'!"&amp;J$2&amp;MATCH($D254,INDIRECT("'"&amp;$C254&amp;"'!$A:$A"),0))</f>
        <v>7</v>
      </c>
      <c r="K254" s="6" cm="1">
        <f t="array" aca="1" ref="K254" ca="1">INDIRECT("'"&amp;$C254&amp;"'!"&amp;K$2&amp;MATCH($D254,INDIRECT("'"&amp;$C254&amp;"'!$A:$A"),0))</f>
        <v>109</v>
      </c>
      <c r="L254" s="6" cm="1">
        <f t="array" aca="1" ref="L254" ca="1">INDIRECT("'"&amp;$C254&amp;"'!"&amp;L$2&amp;MATCH($D254,INDIRECT("'"&amp;$C254&amp;"'!$A:$A"),0))</f>
        <v>0</v>
      </c>
    </row>
    <row r="255" spans="2:12" x14ac:dyDescent="0.35">
      <c r="B255" s="5" t="s">
        <v>262</v>
      </c>
      <c r="C255" s="5" t="s">
        <v>222</v>
      </c>
      <c r="D255" s="7">
        <v>7</v>
      </c>
      <c r="E255" s="17" cm="1">
        <f t="array" aca="1" ref="E255" ca="1">INDIRECT("'"&amp;$C255&amp;"'!"&amp;E$2&amp;MATCH($D255,INDIRECT("'"&amp;$C255&amp;"'!$A:$A"),0))</f>
        <v>7.7780000000000002E-2</v>
      </c>
      <c r="F255" s="17" cm="1">
        <f t="array" aca="1" ref="F255" ca="1">INDIRECT("'"&amp;$C255&amp;"'!"&amp;F$2&amp;MATCH($D255,INDIRECT("'"&amp;$C255&amp;"'!$A:$A"),0))</f>
        <v>1</v>
      </c>
      <c r="G255" s="17" cm="1">
        <f t="array" aca="1" ref="G255" ca="1">INDIRECT("'"&amp;$C255&amp;"'!"&amp;G$2&amp;MATCH($D255,INDIRECT("'"&amp;$C255&amp;"'!$A:$A"),0))</f>
        <v>0.14433000000000001</v>
      </c>
      <c r="H255" s="17"/>
      <c r="I255" s="6" cm="1">
        <f t="array" aca="1" ref="I255" ca="1">INDIRECT("'"&amp;$C255&amp;"'!"&amp;I$2&amp;MATCH($D255,INDIRECT("'"&amp;$C255&amp;"'!$A:$A"),0))</f>
        <v>7</v>
      </c>
      <c r="J255" s="6" cm="1">
        <f t="array" aca="1" ref="J255" ca="1">INDIRECT("'"&amp;$C255&amp;"'!"&amp;J$2&amp;MATCH($D255,INDIRECT("'"&amp;$C255&amp;"'!$A:$A"),0))</f>
        <v>7</v>
      </c>
      <c r="K255" s="6" cm="1">
        <f t="array" aca="1" ref="K255" ca="1">INDIRECT("'"&amp;$C255&amp;"'!"&amp;K$2&amp;MATCH($D255,INDIRECT("'"&amp;$C255&amp;"'!$A:$A"),0))</f>
        <v>83</v>
      </c>
      <c r="L255" s="6" cm="1">
        <f t="array" aca="1" ref="L255" ca="1">INDIRECT("'"&amp;$C255&amp;"'!"&amp;L$2&amp;MATCH($D255,INDIRECT("'"&amp;$C255&amp;"'!$A:$A"),0))</f>
        <v>0</v>
      </c>
    </row>
    <row r="256" spans="2:12" x14ac:dyDescent="0.35">
      <c r="B256" s="5" t="s">
        <v>263</v>
      </c>
      <c r="C256" s="5" t="s">
        <v>223</v>
      </c>
      <c r="D256" s="7">
        <v>7</v>
      </c>
      <c r="E256" s="17" cm="1">
        <f t="array" aca="1" ref="E256" ca="1">INDIRECT("'"&amp;$C256&amp;"'!"&amp;E$2&amp;MATCH($D256,INDIRECT("'"&amp;$C256&amp;"'!$A:$A"),0))</f>
        <v>0.11864</v>
      </c>
      <c r="F256" s="17" cm="1">
        <f t="array" aca="1" ref="F256" ca="1">INDIRECT("'"&amp;$C256&amp;"'!"&amp;F$2&amp;MATCH($D256,INDIRECT("'"&amp;$C256&amp;"'!$A:$A"),0))</f>
        <v>1</v>
      </c>
      <c r="G256" s="17" cm="1">
        <f t="array" aca="1" ref="G256" ca="1">INDIRECT("'"&amp;$C256&amp;"'!"&amp;G$2&amp;MATCH($D256,INDIRECT("'"&amp;$C256&amp;"'!$A:$A"),0))</f>
        <v>0.21212</v>
      </c>
      <c r="H256" s="17"/>
      <c r="I256" s="6" cm="1">
        <f t="array" aca="1" ref="I256" ca="1">INDIRECT("'"&amp;$C256&amp;"'!"&amp;I$2&amp;MATCH($D256,INDIRECT("'"&amp;$C256&amp;"'!$A:$A"),0))</f>
        <v>7</v>
      </c>
      <c r="J256" s="6" cm="1">
        <f t="array" aca="1" ref="J256" ca="1">INDIRECT("'"&amp;$C256&amp;"'!"&amp;J$2&amp;MATCH($D256,INDIRECT("'"&amp;$C256&amp;"'!$A:$A"),0))</f>
        <v>7</v>
      </c>
      <c r="K256" s="6" cm="1">
        <f t="array" aca="1" ref="K256" ca="1">INDIRECT("'"&amp;$C256&amp;"'!"&amp;K$2&amp;MATCH($D256,INDIRECT("'"&amp;$C256&amp;"'!$A:$A"),0))</f>
        <v>52</v>
      </c>
      <c r="L256" s="6" cm="1">
        <f t="array" aca="1" ref="L256" ca="1">INDIRECT("'"&amp;$C256&amp;"'!"&amp;L$2&amp;MATCH($D256,INDIRECT("'"&amp;$C256&amp;"'!$A:$A"),0))</f>
        <v>0</v>
      </c>
    </row>
    <row r="257" spans="2:12" x14ac:dyDescent="0.35">
      <c r="B257" s="24" t="s">
        <v>264</v>
      </c>
      <c r="C257" s="5" t="s">
        <v>224</v>
      </c>
      <c r="D257" s="7">
        <v>7</v>
      </c>
      <c r="E257" s="17" cm="1">
        <f t="array" aca="1" ref="E257" ca="1">INDIRECT("'"&amp;$C257&amp;"'!"&amp;E$2&amp;MATCH($D257,INDIRECT("'"&amp;$C257&amp;"'!$A:$A"),0))</f>
        <v>0.21212</v>
      </c>
      <c r="F257" s="17" cm="1">
        <f t="array" aca="1" ref="F257" ca="1">INDIRECT("'"&amp;$C257&amp;"'!"&amp;F$2&amp;MATCH($D257,INDIRECT("'"&amp;$C257&amp;"'!$A:$A"),0))</f>
        <v>1</v>
      </c>
      <c r="G257" s="17" cm="1">
        <f t="array" aca="1" ref="G257" ca="1">INDIRECT("'"&amp;$C257&amp;"'!"&amp;G$2&amp;MATCH($D257,INDIRECT("'"&amp;$C257&amp;"'!$A:$A"),0))</f>
        <v>0.35</v>
      </c>
      <c r="H257" s="17"/>
      <c r="I257" s="6" cm="1">
        <f t="array" aca="1" ref="I257" ca="1">INDIRECT("'"&amp;$C257&amp;"'!"&amp;I$2&amp;MATCH($D257,INDIRECT("'"&amp;$C257&amp;"'!$A:$A"),0))</f>
        <v>7</v>
      </c>
      <c r="J257" s="6" cm="1">
        <f t="array" aca="1" ref="J257" ca="1">INDIRECT("'"&amp;$C257&amp;"'!"&amp;J$2&amp;MATCH($D257,INDIRECT("'"&amp;$C257&amp;"'!$A:$A"),0))</f>
        <v>7</v>
      </c>
      <c r="K257" s="6" cm="1">
        <f t="array" aca="1" ref="K257" ca="1">INDIRECT("'"&amp;$C257&amp;"'!"&amp;K$2&amp;MATCH($D257,INDIRECT("'"&amp;$C257&amp;"'!$A:$A"),0))</f>
        <v>26</v>
      </c>
      <c r="L257" s="6" cm="1">
        <f t="array" aca="1" ref="L257" ca="1">INDIRECT("'"&amp;$C257&amp;"'!"&amp;L$2&amp;MATCH($D257,INDIRECT("'"&amp;$C257&amp;"'!$A:$A"),0))</f>
        <v>0</v>
      </c>
    </row>
    <row r="258" spans="2:12" x14ac:dyDescent="0.35">
      <c r="B258" s="5" t="s">
        <v>265</v>
      </c>
      <c r="C258" s="5" t="s">
        <v>233</v>
      </c>
      <c r="D258" s="7">
        <v>7</v>
      </c>
      <c r="E258" s="17" cm="1">
        <f t="array" aca="1" ref="E258" ca="1">INDIRECT("'"&amp;$C258&amp;"'!"&amp;E$2&amp;MATCH($D258,INDIRECT("'"&amp;$C258&amp;"'!$A:$A"),0))</f>
        <v>0.14582999999999999</v>
      </c>
      <c r="F258" s="17" cm="1">
        <f t="array" aca="1" ref="F258" ca="1">INDIRECT("'"&amp;$C258&amp;"'!"&amp;F$2&amp;MATCH($D258,INDIRECT("'"&amp;$C258&amp;"'!$A:$A"),0))</f>
        <v>1</v>
      </c>
      <c r="G258" s="17" cm="1">
        <f t="array" aca="1" ref="G258" ca="1">INDIRECT("'"&amp;$C258&amp;"'!"&amp;G$2&amp;MATCH($D258,INDIRECT("'"&amp;$C258&amp;"'!$A:$A"),0))</f>
        <v>0.25455</v>
      </c>
      <c r="H258" s="17"/>
      <c r="I258" s="6" cm="1">
        <f t="array" aca="1" ref="I258" ca="1">INDIRECT("'"&amp;$C258&amp;"'!"&amp;I$2&amp;MATCH($D258,INDIRECT("'"&amp;$C258&amp;"'!$A:$A"),0))</f>
        <v>7</v>
      </c>
      <c r="J258" s="6" cm="1">
        <f t="array" aca="1" ref="J258" ca="1">INDIRECT("'"&amp;$C258&amp;"'!"&amp;J$2&amp;MATCH($D258,INDIRECT("'"&amp;$C258&amp;"'!$A:$A"),0))</f>
        <v>7</v>
      </c>
      <c r="K258" s="6" cm="1">
        <f t="array" aca="1" ref="K258" ca="1">INDIRECT("'"&amp;$C258&amp;"'!"&amp;K$2&amp;MATCH($D258,INDIRECT("'"&amp;$C258&amp;"'!$A:$A"),0))</f>
        <v>41</v>
      </c>
      <c r="L258" s="6" cm="1">
        <f t="array" aca="1" ref="L258" ca="1">INDIRECT("'"&amp;$C258&amp;"'!"&amp;L$2&amp;MATCH($D258,INDIRECT("'"&amp;$C258&amp;"'!$A:$A"),0))</f>
        <v>0</v>
      </c>
    </row>
    <row r="259" spans="2:12" x14ac:dyDescent="0.35">
      <c r="B259" s="5" t="s">
        <v>266</v>
      </c>
      <c r="C259" s="5" t="s">
        <v>232</v>
      </c>
      <c r="D259" s="7">
        <v>7</v>
      </c>
      <c r="E259" s="17" cm="1">
        <f t="array" aca="1" ref="E259" ca="1">INDIRECT("'"&amp;$C259&amp;"'!"&amp;E$2&amp;MATCH($D259,INDIRECT("'"&amp;$C259&amp;"'!$A:$A"),0))</f>
        <v>0.31579000000000002</v>
      </c>
      <c r="F259" s="17" cm="1">
        <f t="array" aca="1" ref="F259" ca="1">INDIRECT("'"&amp;$C259&amp;"'!"&amp;F$2&amp;MATCH($D259,INDIRECT("'"&amp;$C259&amp;"'!$A:$A"),0))</f>
        <v>0.85714000000000001</v>
      </c>
      <c r="G259" s="17" cm="1">
        <f t="array" aca="1" ref="G259" ca="1">INDIRECT("'"&amp;$C259&amp;"'!"&amp;G$2&amp;MATCH($D259,INDIRECT("'"&amp;$C259&amp;"'!$A:$A"),0))</f>
        <v>0.46154000000000001</v>
      </c>
      <c r="H259" s="17"/>
      <c r="I259" s="6" cm="1">
        <f t="array" aca="1" ref="I259" ca="1">INDIRECT("'"&amp;$C259&amp;"'!"&amp;I$2&amp;MATCH($D259,INDIRECT("'"&amp;$C259&amp;"'!$A:$A"),0))</f>
        <v>7</v>
      </c>
      <c r="J259" s="6" cm="1">
        <f t="array" aca="1" ref="J259" ca="1">INDIRECT("'"&amp;$C259&amp;"'!"&amp;J$2&amp;MATCH($D259,INDIRECT("'"&amp;$C259&amp;"'!$A:$A"),0))</f>
        <v>6</v>
      </c>
      <c r="K259" s="6" cm="1">
        <f t="array" aca="1" ref="K259" ca="1">INDIRECT("'"&amp;$C259&amp;"'!"&amp;K$2&amp;MATCH($D259,INDIRECT("'"&amp;$C259&amp;"'!$A:$A"),0))</f>
        <v>13</v>
      </c>
      <c r="L259" s="6" cm="1">
        <f t="array" aca="1" ref="L259" ca="1">INDIRECT("'"&amp;$C259&amp;"'!"&amp;L$2&amp;MATCH($D259,INDIRECT("'"&amp;$C259&amp;"'!$A:$A"),0))</f>
        <v>1</v>
      </c>
    </row>
    <row r="260" spans="2:12" x14ac:dyDescent="0.35">
      <c r="B260" s="25" t="s">
        <v>267</v>
      </c>
      <c r="C260" s="5" t="s">
        <v>234</v>
      </c>
      <c r="D260" s="7">
        <v>7</v>
      </c>
      <c r="E260" s="17" cm="1">
        <f t="array" aca="1" ref="E260" ca="1">INDIRECT("'"&amp;$C260&amp;"'!"&amp;E$2&amp;MATCH($D260,INDIRECT("'"&amp;$C260&amp;"'!$A:$A"),0))</f>
        <v>0.33333000000000002</v>
      </c>
      <c r="F260" s="17" cm="1">
        <f t="array" aca="1" ref="F260" ca="1">INDIRECT("'"&amp;$C260&amp;"'!"&amp;F$2&amp;MATCH($D260,INDIRECT("'"&amp;$C260&amp;"'!$A:$A"),0))</f>
        <v>0.71428999999999998</v>
      </c>
      <c r="G260" s="17" cm="1">
        <f t="array" aca="1" ref="G260" ca="1">INDIRECT("'"&amp;$C260&amp;"'!"&amp;G$2&amp;MATCH($D260,INDIRECT("'"&amp;$C260&amp;"'!$A:$A"),0))</f>
        <v>0.45455000000000001</v>
      </c>
      <c r="H260" s="17"/>
      <c r="I260" s="6" cm="1">
        <f t="array" aca="1" ref="I260" ca="1">INDIRECT("'"&amp;$C260&amp;"'!"&amp;I$2&amp;MATCH($D260,INDIRECT("'"&amp;$C260&amp;"'!$A:$A"),0))</f>
        <v>7</v>
      </c>
      <c r="J260" s="6" cm="1">
        <f t="array" aca="1" ref="J260" ca="1">INDIRECT("'"&amp;$C260&amp;"'!"&amp;J$2&amp;MATCH($D260,INDIRECT("'"&amp;$C260&amp;"'!$A:$A"),0))</f>
        <v>5</v>
      </c>
      <c r="K260" s="6" cm="1">
        <f t="array" aca="1" ref="K260" ca="1">INDIRECT("'"&amp;$C260&amp;"'!"&amp;K$2&amp;MATCH($D260,INDIRECT("'"&amp;$C260&amp;"'!$A:$A"),0))</f>
        <v>10</v>
      </c>
      <c r="L260" s="6" cm="1">
        <f t="array" aca="1" ref="L260" ca="1">INDIRECT("'"&amp;$C260&amp;"'!"&amp;L$2&amp;MATCH($D260,INDIRECT("'"&amp;$C260&amp;"'!$A:$A"),0))</f>
        <v>2</v>
      </c>
    </row>
    <row r="261" spans="2:12" x14ac:dyDescent="0.35">
      <c r="B261" s="5" t="s">
        <v>270</v>
      </c>
      <c r="C261" s="5" t="s">
        <v>268</v>
      </c>
      <c r="D261" s="7">
        <v>7</v>
      </c>
      <c r="E261" s="17" cm="1">
        <f t="array" aca="1" ref="E261" ca="1">INDIRECT("'"&amp;$C261&amp;"'!"&amp;E$2&amp;MATCH($D261,INDIRECT("'"&amp;$C261&amp;"'!$A:$A"),0))</f>
        <v>4.6050000000000001E-2</v>
      </c>
      <c r="F261" s="17" cm="1">
        <f t="array" aca="1" ref="F261" ca="1">INDIRECT("'"&amp;$C261&amp;"'!"&amp;F$2&amp;MATCH($D261,INDIRECT("'"&amp;$C261&amp;"'!$A:$A"),0))</f>
        <v>1</v>
      </c>
      <c r="G261" s="17" cm="1">
        <f t="array" aca="1" ref="G261" ca="1">INDIRECT("'"&amp;$C261&amp;"'!"&amp;G$2&amp;MATCH($D261,INDIRECT("'"&amp;$C261&amp;"'!$A:$A"),0))</f>
        <v>8.8050000000000003E-2</v>
      </c>
      <c r="H261" s="17"/>
      <c r="I261" s="6" cm="1">
        <f t="array" aca="1" ref="I261" ca="1">INDIRECT("'"&amp;$C261&amp;"'!"&amp;I$2&amp;MATCH($D261,INDIRECT("'"&amp;$C261&amp;"'!$A:$A"),0))</f>
        <v>7</v>
      </c>
      <c r="J261" s="6" cm="1">
        <f t="array" aca="1" ref="J261" ca="1">INDIRECT("'"&amp;$C261&amp;"'!"&amp;J$2&amp;MATCH($D261,INDIRECT("'"&amp;$C261&amp;"'!$A:$A"),0))</f>
        <v>7</v>
      </c>
      <c r="K261" s="6" cm="1">
        <f t="array" aca="1" ref="K261" ca="1">INDIRECT("'"&amp;$C261&amp;"'!"&amp;K$2&amp;MATCH($D261,INDIRECT("'"&amp;$C261&amp;"'!$A:$A"),0))</f>
        <v>145</v>
      </c>
      <c r="L261" s="6" cm="1">
        <f t="array" aca="1" ref="L261" ca="1">INDIRECT("'"&amp;$C261&amp;"'!"&amp;L$2&amp;MATCH($D261,INDIRECT("'"&amp;$C261&amp;"'!$A:$A"),0))</f>
        <v>0</v>
      </c>
    </row>
    <row r="262" spans="2:12" x14ac:dyDescent="0.35">
      <c r="B262" s="25" t="s">
        <v>271</v>
      </c>
      <c r="C262" s="5" t="s">
        <v>269</v>
      </c>
      <c r="D262" s="7">
        <v>7</v>
      </c>
      <c r="E262" s="17" cm="1">
        <f t="array" aca="1" ref="E262" ca="1">INDIRECT("'"&amp;$C262&amp;"'!"&amp;E$2&amp;MATCH($D262,INDIRECT("'"&amp;$C262&amp;"'!$A:$A"),0))</f>
        <v>0.23810000000000001</v>
      </c>
      <c r="F262" s="17" cm="1">
        <f t="array" aca="1" ref="F262" ca="1">INDIRECT("'"&amp;$C262&amp;"'!"&amp;F$2&amp;MATCH($D262,INDIRECT("'"&amp;$C262&amp;"'!$A:$A"),0))</f>
        <v>0.71428999999999998</v>
      </c>
      <c r="G262" s="17" cm="1">
        <f t="array" aca="1" ref="G262" ca="1">INDIRECT("'"&amp;$C262&amp;"'!"&amp;G$2&amp;MATCH($D262,INDIRECT("'"&amp;$C262&amp;"'!$A:$A"),0))</f>
        <v>0.35714000000000001</v>
      </c>
      <c r="H262" s="17"/>
      <c r="I262" s="6" cm="1">
        <f t="array" aca="1" ref="I262" ca="1">INDIRECT("'"&amp;$C262&amp;"'!"&amp;I$2&amp;MATCH($D262,INDIRECT("'"&amp;$C262&amp;"'!$A:$A"),0))</f>
        <v>7</v>
      </c>
      <c r="J262" s="6" cm="1">
        <f t="array" aca="1" ref="J262" ca="1">INDIRECT("'"&amp;$C262&amp;"'!"&amp;J$2&amp;MATCH($D262,INDIRECT("'"&amp;$C262&amp;"'!$A:$A"),0))</f>
        <v>5</v>
      </c>
      <c r="K262" s="6" cm="1">
        <f t="array" aca="1" ref="K262" ca="1">INDIRECT("'"&amp;$C262&amp;"'!"&amp;K$2&amp;MATCH($D262,INDIRECT("'"&amp;$C262&amp;"'!$A:$A"),0))</f>
        <v>16</v>
      </c>
      <c r="L262" s="6" cm="1">
        <f t="array" aca="1" ref="L262" ca="1">INDIRECT("'"&amp;$C262&amp;"'!"&amp;L$2&amp;MATCH($D262,INDIRECT("'"&amp;$C262&amp;"'!$A:$A"),0))</f>
        <v>2</v>
      </c>
    </row>
    <row r="263" spans="2:12" x14ac:dyDescent="0.35">
      <c r="D263" s="7"/>
      <c r="E263" s="17"/>
      <c r="F263" s="17"/>
      <c r="G263" s="17"/>
      <c r="H263" s="17"/>
    </row>
    <row r="265" spans="2:12" x14ac:dyDescent="0.35">
      <c r="B265" s="24" t="s">
        <v>246</v>
      </c>
      <c r="C265" s="5" t="s">
        <v>249</v>
      </c>
      <c r="D265" s="7">
        <v>8</v>
      </c>
      <c r="E265" s="17" cm="1">
        <f t="array" aca="1" ref="E265" ca="1">INDIRECT("'"&amp;$C265&amp;"'!"&amp;E$2&amp;MATCH($D265,INDIRECT("'"&amp;$C265&amp;"'!$A:$A"),0))</f>
        <v>0.98387999999999998</v>
      </c>
      <c r="F265" s="17" cm="1">
        <f t="array" aca="1" ref="F265" ca="1">INDIRECT("'"&amp;$C265&amp;"'!"&amp;F$2&amp;MATCH($D265,INDIRECT("'"&amp;$C265&amp;"'!$A:$A"),0))</f>
        <v>0.97840000000000005</v>
      </c>
      <c r="G265" s="17" cm="1">
        <f t="array" aca="1" ref="G265" ca="1">INDIRECT("'"&amp;$C265&amp;"'!"&amp;G$2&amp;MATCH($D265,INDIRECT("'"&amp;$C265&amp;"'!$A:$A"),0))</f>
        <v>0.98112999999999995</v>
      </c>
      <c r="H265" s="17"/>
      <c r="I265" s="6" cm="1">
        <f t="array" aca="1" ref="I265" ca="1">INDIRECT("'"&amp;$C265&amp;"'!"&amp;I$2&amp;MATCH($D265,INDIRECT("'"&amp;$C265&amp;"'!$A:$A"),0))</f>
        <v>1435</v>
      </c>
      <c r="J265" s="6" cm="1">
        <f t="array" aca="1" ref="J265" ca="1">INDIRECT("'"&amp;$C265&amp;"'!"&amp;J$2&amp;MATCH($D265,INDIRECT("'"&amp;$C265&amp;"'!$A:$A"),0))</f>
        <v>1404</v>
      </c>
      <c r="K265" s="6" cm="1">
        <f t="array" aca="1" ref="K265" ca="1">INDIRECT("'"&amp;$C265&amp;"'!"&amp;K$2&amp;MATCH($D265,INDIRECT("'"&amp;$C265&amp;"'!$A:$A"),0))</f>
        <v>23</v>
      </c>
      <c r="L265" s="6" cm="1">
        <f t="array" aca="1" ref="L265" ca="1">INDIRECT("'"&amp;$C265&amp;"'!"&amp;L$2&amp;MATCH($D265,INDIRECT("'"&amp;$C265&amp;"'!$A:$A"),0))</f>
        <v>31</v>
      </c>
    </row>
    <row r="266" spans="2:12" x14ac:dyDescent="0.35">
      <c r="B266" s="25" t="s">
        <v>251</v>
      </c>
      <c r="C266" s="5" t="s">
        <v>250</v>
      </c>
      <c r="D266" s="7">
        <v>8</v>
      </c>
      <c r="E266" s="17" cm="1">
        <f t="array" aca="1" ref="E266" ca="1">INDIRECT("'"&amp;$C266&amp;"'!"&amp;E$2&amp;MATCH($D266,INDIRECT("'"&amp;$C266&amp;"'!$A:$A"),0))</f>
        <v>0.98924000000000001</v>
      </c>
      <c r="F266" s="17" cm="1">
        <f t="array" aca="1" ref="F266" ca="1">INDIRECT("'"&amp;$C266&amp;"'!"&amp;F$2&amp;MATCH($D266,INDIRECT("'"&amp;$C266&amp;"'!$A:$A"),0))</f>
        <v>0.96097999999999995</v>
      </c>
      <c r="G266" s="17" cm="1">
        <f t="array" aca="1" ref="G266" ca="1">INDIRECT("'"&amp;$C266&amp;"'!"&amp;G$2&amp;MATCH($D266,INDIRECT("'"&amp;$C266&amp;"'!$A:$A"),0))</f>
        <v>0.97489999999999999</v>
      </c>
      <c r="H266" s="17"/>
      <c r="I266" s="6" cm="1">
        <f t="array" aca="1" ref="I266" ca="1">INDIRECT("'"&amp;$C266&amp;"'!"&amp;I$2&amp;MATCH($D266,INDIRECT("'"&amp;$C266&amp;"'!$A:$A"),0))</f>
        <v>1435</v>
      </c>
      <c r="J266" s="6" cm="1">
        <f t="array" aca="1" ref="J266" ca="1">INDIRECT("'"&amp;$C266&amp;"'!"&amp;J$2&amp;MATCH($D266,INDIRECT("'"&amp;$C266&amp;"'!$A:$A"),0))</f>
        <v>1379</v>
      </c>
      <c r="K266" s="6" cm="1">
        <f t="array" aca="1" ref="K266" ca="1">INDIRECT("'"&amp;$C266&amp;"'!"&amp;K$2&amp;MATCH($D266,INDIRECT("'"&amp;$C266&amp;"'!$A:$A"),0))</f>
        <v>15</v>
      </c>
      <c r="L266" s="6" cm="1">
        <f t="array" aca="1" ref="L266" ca="1">INDIRECT("'"&amp;$C266&amp;"'!"&amp;L$2&amp;MATCH($D266,INDIRECT("'"&amp;$C266&amp;"'!$A:$A"),0))</f>
        <v>56</v>
      </c>
    </row>
    <row r="267" spans="2:12" x14ac:dyDescent="0.35">
      <c r="B267" s="5" t="s">
        <v>252</v>
      </c>
      <c r="C267" s="5" t="s">
        <v>221</v>
      </c>
      <c r="D267" s="7">
        <v>8</v>
      </c>
      <c r="E267" s="17" cm="1">
        <f t="array" aca="1" ref="E267" ca="1">INDIRECT("'"&amp;$C267&amp;"'!"&amp;E$2&amp;MATCH($D267,INDIRECT("'"&amp;$C267&amp;"'!$A:$A"),0))</f>
        <v>0.99890000000000001</v>
      </c>
      <c r="F267" s="17" cm="1">
        <f t="array" aca="1" ref="F267" ca="1">INDIRECT("'"&amp;$C267&amp;"'!"&amp;F$2&amp;MATCH($D267,INDIRECT("'"&amp;$C267&amp;"'!$A:$A"),0))</f>
        <v>0.63136000000000003</v>
      </c>
      <c r="G267" s="17" cm="1">
        <f t="array" aca="1" ref="G267" ca="1">INDIRECT("'"&amp;$C267&amp;"'!"&amp;G$2&amp;MATCH($D267,INDIRECT("'"&amp;$C267&amp;"'!$A:$A"),0))</f>
        <v>0.77370000000000005</v>
      </c>
      <c r="H267" s="17"/>
      <c r="I267" s="6" cm="1">
        <f t="array" aca="1" ref="I267" ca="1">INDIRECT("'"&amp;$C267&amp;"'!"&amp;I$2&amp;MATCH($D267,INDIRECT("'"&amp;$C267&amp;"'!$A:$A"),0))</f>
        <v>1435</v>
      </c>
      <c r="J267" s="6" cm="1">
        <f t="array" aca="1" ref="J267" ca="1">INDIRECT("'"&amp;$C267&amp;"'!"&amp;J$2&amp;MATCH($D267,INDIRECT("'"&amp;$C267&amp;"'!$A:$A"),0))</f>
        <v>906</v>
      </c>
      <c r="K267" s="6" cm="1">
        <f t="array" aca="1" ref="K267" ca="1">INDIRECT("'"&amp;$C267&amp;"'!"&amp;K$2&amp;MATCH($D267,INDIRECT("'"&amp;$C267&amp;"'!$A:$A"),0))</f>
        <v>1</v>
      </c>
      <c r="L267" s="6" cm="1">
        <f t="array" aca="1" ref="L267" ca="1">INDIRECT("'"&amp;$C267&amp;"'!"&amp;L$2&amp;MATCH($D267,INDIRECT("'"&amp;$C267&amp;"'!$A:$A"),0))</f>
        <v>529</v>
      </c>
    </row>
    <row r="268" spans="2:12" x14ac:dyDescent="0.35">
      <c r="B268" s="5" t="s">
        <v>254</v>
      </c>
      <c r="C268" s="5" t="s">
        <v>220</v>
      </c>
      <c r="D268" s="7">
        <v>8</v>
      </c>
      <c r="E268" s="17" cm="1">
        <f t="array" aca="1" ref="E268" ca="1">INDIRECT("'"&amp;$C268&amp;"'!"&amp;E$2&amp;MATCH($D268,INDIRECT("'"&amp;$C268&amp;"'!$A:$A"),0))</f>
        <v>0.99553999999999998</v>
      </c>
      <c r="F268" s="17" cm="1">
        <f t="array" aca="1" ref="F268" ca="1">INDIRECT("'"&amp;$C268&amp;"'!"&amp;F$2&amp;MATCH($D268,INDIRECT("'"&amp;$C268&amp;"'!$A:$A"),0))</f>
        <v>0.62229999999999996</v>
      </c>
      <c r="G268" s="17" cm="1">
        <f t="array" aca="1" ref="G268" ca="1">INDIRECT("'"&amp;$C268&amp;"'!"&amp;G$2&amp;MATCH($D268,INDIRECT("'"&amp;$C268&amp;"'!$A:$A"),0))</f>
        <v>0.76587000000000005</v>
      </c>
      <c r="H268" s="17"/>
      <c r="I268" s="6" cm="1">
        <f t="array" aca="1" ref="I268" ca="1">INDIRECT("'"&amp;$C268&amp;"'!"&amp;I$2&amp;MATCH($D268,INDIRECT("'"&amp;$C268&amp;"'!$A:$A"),0))</f>
        <v>1435</v>
      </c>
      <c r="J268" s="6" cm="1">
        <f t="array" aca="1" ref="J268" ca="1">INDIRECT("'"&amp;$C268&amp;"'!"&amp;J$2&amp;MATCH($D268,INDIRECT("'"&amp;$C268&amp;"'!$A:$A"),0))</f>
        <v>893</v>
      </c>
      <c r="K268" s="6" cm="1">
        <f t="array" aca="1" ref="K268" ca="1">INDIRECT("'"&amp;$C268&amp;"'!"&amp;K$2&amp;MATCH($D268,INDIRECT("'"&amp;$C268&amp;"'!$A:$A"),0))</f>
        <v>4</v>
      </c>
      <c r="L268" s="6" cm="1">
        <f t="array" aca="1" ref="L268" ca="1">INDIRECT("'"&amp;$C268&amp;"'!"&amp;L$2&amp;MATCH($D268,INDIRECT("'"&amp;$C268&amp;"'!$A:$A"),0))</f>
        <v>542</v>
      </c>
    </row>
    <row r="269" spans="2:12" x14ac:dyDescent="0.35">
      <c r="B269" s="5" t="s">
        <v>253</v>
      </c>
      <c r="C269" s="5" t="s">
        <v>219</v>
      </c>
      <c r="D269" s="7">
        <v>8</v>
      </c>
      <c r="E269" s="17" cm="1">
        <f t="array" aca="1" ref="E269" ca="1">INDIRECT("'"&amp;$C269&amp;"'!"&amp;E$2&amp;MATCH($D269,INDIRECT("'"&amp;$C269&amp;"'!$A:$A"),0))</f>
        <v>0.99360999999999999</v>
      </c>
      <c r="F269" s="17" cm="1">
        <f t="array" aca="1" ref="F269" ca="1">INDIRECT("'"&amp;$C269&amp;"'!"&amp;F$2&amp;MATCH($D269,INDIRECT("'"&amp;$C269&amp;"'!$A:$A"),0))</f>
        <v>0.75819000000000003</v>
      </c>
      <c r="G269" s="17" cm="1">
        <f t="array" aca="1" ref="G269" ca="1">INDIRECT("'"&amp;$C269&amp;"'!"&amp;G$2&amp;MATCH($D269,INDIRECT("'"&amp;$C269&amp;"'!$A:$A"),0))</f>
        <v>0.86007999999999996</v>
      </c>
      <c r="H269" s="17"/>
      <c r="I269" s="6" cm="1">
        <f t="array" aca="1" ref="I269" ca="1">INDIRECT("'"&amp;$C269&amp;"'!"&amp;I$2&amp;MATCH($D269,INDIRECT("'"&amp;$C269&amp;"'!$A:$A"),0))</f>
        <v>1435</v>
      </c>
      <c r="J269" s="6" cm="1">
        <f t="array" aca="1" ref="J269" ca="1">INDIRECT("'"&amp;$C269&amp;"'!"&amp;J$2&amp;MATCH($D269,INDIRECT("'"&amp;$C269&amp;"'!$A:$A"),0))</f>
        <v>1088</v>
      </c>
      <c r="K269" s="6" cm="1">
        <f t="array" aca="1" ref="K269" ca="1">INDIRECT("'"&amp;$C269&amp;"'!"&amp;K$2&amp;MATCH($D269,INDIRECT("'"&amp;$C269&amp;"'!$A:$A"),0))</f>
        <v>7</v>
      </c>
      <c r="L269" s="6" cm="1">
        <f t="array" aca="1" ref="L269" ca="1">INDIRECT("'"&amp;$C269&amp;"'!"&amp;L$2&amp;MATCH($D269,INDIRECT("'"&amp;$C269&amp;"'!$A:$A"),0))</f>
        <v>347</v>
      </c>
    </row>
    <row r="270" spans="2:12" x14ac:dyDescent="0.35">
      <c r="B270" s="24" t="s">
        <v>259</v>
      </c>
      <c r="C270" s="5" t="s">
        <v>228</v>
      </c>
      <c r="D270" s="7">
        <v>8</v>
      </c>
      <c r="E270" s="17" cm="1">
        <f t="array" aca="1" ref="E270" ca="1">INDIRECT("'"&amp;$C270&amp;"'!"&amp;E$2&amp;MATCH($D270,INDIRECT("'"&amp;$C270&amp;"'!$A:$A"),0))</f>
        <v>0.99378</v>
      </c>
      <c r="F270" s="17" cm="1">
        <f t="array" aca="1" ref="F270" ca="1">INDIRECT("'"&amp;$C270&amp;"'!"&amp;F$2&amp;MATCH($D270,INDIRECT("'"&amp;$C270&amp;"'!$A:$A"),0))</f>
        <v>0.77908999999999995</v>
      </c>
      <c r="G270" s="17" cm="1">
        <f t="array" aca="1" ref="G270" ca="1">INDIRECT("'"&amp;$C270&amp;"'!"&amp;G$2&amp;MATCH($D270,INDIRECT("'"&amp;$C270&amp;"'!$A:$A"),0))</f>
        <v>0.87343999999999999</v>
      </c>
      <c r="H270" s="17"/>
      <c r="I270" s="6" cm="1">
        <f t="array" aca="1" ref="I270" ca="1">INDIRECT("'"&amp;$C270&amp;"'!"&amp;I$2&amp;MATCH($D270,INDIRECT("'"&amp;$C270&amp;"'!$A:$A"),0))</f>
        <v>1435</v>
      </c>
      <c r="J270" s="6" cm="1">
        <f t="array" aca="1" ref="J270" ca="1">INDIRECT("'"&amp;$C270&amp;"'!"&amp;J$2&amp;MATCH($D270,INDIRECT("'"&amp;$C270&amp;"'!$A:$A"),0))</f>
        <v>1118</v>
      </c>
      <c r="K270" s="6" cm="1">
        <f t="array" aca="1" ref="K270" ca="1">INDIRECT("'"&amp;$C270&amp;"'!"&amp;K$2&amp;MATCH($D270,INDIRECT("'"&amp;$C270&amp;"'!$A:$A"),0))</f>
        <v>7</v>
      </c>
      <c r="L270" s="6" cm="1">
        <f t="array" aca="1" ref="L270" ca="1">INDIRECT("'"&amp;$C270&amp;"'!"&amp;L$2&amp;MATCH($D270,INDIRECT("'"&amp;$C270&amp;"'!$A:$A"),0))</f>
        <v>317</v>
      </c>
    </row>
    <row r="271" spans="2:12" x14ac:dyDescent="0.35">
      <c r="B271" s="5" t="s">
        <v>255</v>
      </c>
      <c r="C271" s="5" t="s">
        <v>218</v>
      </c>
      <c r="D271" s="7">
        <v>8</v>
      </c>
      <c r="E271" s="17" cm="1">
        <f t="array" aca="1" ref="E271" ca="1">INDIRECT("'"&amp;$C271&amp;"'!"&amp;E$2&amp;MATCH($D271,INDIRECT("'"&amp;$C271&amp;"'!$A:$A"),0))</f>
        <v>0.99856999999999996</v>
      </c>
      <c r="F271" s="17" cm="1">
        <f t="array" aca="1" ref="F271" ca="1">INDIRECT("'"&amp;$C271&amp;"'!"&amp;F$2&amp;MATCH($D271,INDIRECT("'"&amp;$C271&amp;"'!$A:$A"),0))</f>
        <v>0.48710999999999999</v>
      </c>
      <c r="G271" s="17" cm="1">
        <f t="array" aca="1" ref="G271" ca="1">INDIRECT("'"&amp;$C271&amp;"'!"&amp;G$2&amp;MATCH($D271,INDIRECT("'"&amp;$C271&amp;"'!$A:$A"),0))</f>
        <v>0.65480000000000005</v>
      </c>
      <c r="H271" s="17"/>
      <c r="I271" s="6" cm="1">
        <f t="array" aca="1" ref="I271" ca="1">INDIRECT("'"&amp;$C271&amp;"'!"&amp;I$2&amp;MATCH($D271,INDIRECT("'"&amp;$C271&amp;"'!$A:$A"),0))</f>
        <v>1435</v>
      </c>
      <c r="J271" s="6" cm="1">
        <f t="array" aca="1" ref="J271" ca="1">INDIRECT("'"&amp;$C271&amp;"'!"&amp;J$2&amp;MATCH($D271,INDIRECT("'"&amp;$C271&amp;"'!$A:$A"),0))</f>
        <v>699</v>
      </c>
      <c r="K271" s="6" cm="1">
        <f t="array" aca="1" ref="K271" ca="1">INDIRECT("'"&amp;$C271&amp;"'!"&amp;K$2&amp;MATCH($D271,INDIRECT("'"&amp;$C271&amp;"'!$A:$A"),0))</f>
        <v>1</v>
      </c>
      <c r="L271" s="6" cm="1">
        <f t="array" aca="1" ref="L271" ca="1">INDIRECT("'"&amp;$C271&amp;"'!"&amp;L$2&amp;MATCH($D271,INDIRECT("'"&amp;$C271&amp;"'!$A:$A"),0))</f>
        <v>736</v>
      </c>
    </row>
    <row r="272" spans="2:12" x14ac:dyDescent="0.35">
      <c r="B272" s="5" t="s">
        <v>256</v>
      </c>
      <c r="C272" s="5" t="s">
        <v>217</v>
      </c>
      <c r="D272" s="7">
        <v>8</v>
      </c>
      <c r="E272" s="17" cm="1">
        <f t="array" aca="1" ref="E272" ca="1">INDIRECT("'"&amp;$C272&amp;"'!"&amp;E$2&amp;MATCH($D272,INDIRECT("'"&amp;$C272&amp;"'!$A:$A"),0))</f>
        <v>0.99495</v>
      </c>
      <c r="F272" s="17" cm="1">
        <f t="array" aca="1" ref="F272" ca="1">INDIRECT("'"&amp;$C272&amp;"'!"&amp;F$2&amp;MATCH($D272,INDIRECT("'"&amp;$C272&amp;"'!$A:$A"),0))</f>
        <v>0.68711</v>
      </c>
      <c r="G272" s="17" cm="1">
        <f t="array" aca="1" ref="G272" ca="1">INDIRECT("'"&amp;$C272&amp;"'!"&amp;G$2&amp;MATCH($D272,INDIRECT("'"&amp;$C272&amp;"'!$A:$A"),0))</f>
        <v>0.81286000000000003</v>
      </c>
      <c r="H272" s="17"/>
      <c r="I272" s="6" cm="1">
        <f t="array" aca="1" ref="I272" ca="1">INDIRECT("'"&amp;$C272&amp;"'!"&amp;I$2&amp;MATCH($D272,INDIRECT("'"&amp;$C272&amp;"'!$A:$A"),0))</f>
        <v>1435</v>
      </c>
      <c r="J272" s="6" cm="1">
        <f t="array" aca="1" ref="J272" ca="1">INDIRECT("'"&amp;$C272&amp;"'!"&amp;J$2&amp;MATCH($D272,INDIRECT("'"&amp;$C272&amp;"'!$A:$A"),0))</f>
        <v>986</v>
      </c>
      <c r="K272" s="6" cm="1">
        <f t="array" aca="1" ref="K272" ca="1">INDIRECT("'"&amp;$C272&amp;"'!"&amp;K$2&amp;MATCH($D272,INDIRECT("'"&amp;$C272&amp;"'!$A:$A"),0))</f>
        <v>5</v>
      </c>
      <c r="L272" s="6" cm="1">
        <f t="array" aca="1" ref="L272" ca="1">INDIRECT("'"&amp;$C272&amp;"'!"&amp;L$2&amp;MATCH($D272,INDIRECT("'"&amp;$C272&amp;"'!$A:$A"),0))</f>
        <v>449</v>
      </c>
    </row>
    <row r="273" spans="2:14" x14ac:dyDescent="0.35">
      <c r="B273" s="5" t="s">
        <v>257</v>
      </c>
      <c r="C273" s="5" t="s">
        <v>216</v>
      </c>
      <c r="D273" s="7">
        <v>8</v>
      </c>
      <c r="E273" s="17" cm="1">
        <f t="array" aca="1" ref="E273" ca="1">INDIRECT("'"&amp;$C273&amp;"'!"&amp;E$2&amp;MATCH($D273,INDIRECT("'"&amp;$C273&amp;"'!$A:$A"),0))</f>
        <v>0.99397000000000002</v>
      </c>
      <c r="F273" s="17" cm="1">
        <f t="array" aca="1" ref="F273" ca="1">INDIRECT("'"&amp;$C273&amp;"'!"&amp;F$2&amp;MATCH($D273,INDIRECT("'"&amp;$C273&amp;"'!$A:$A"),0))</f>
        <v>0.68920000000000003</v>
      </c>
      <c r="G273" s="17" cm="1">
        <f t="array" aca="1" ref="G273" ca="1">INDIRECT("'"&amp;$C273&amp;"'!"&amp;G$2&amp;MATCH($D273,INDIRECT("'"&amp;$C273&amp;"'!$A:$A"),0))</f>
        <v>0.81398999999999999</v>
      </c>
      <c r="H273" s="17"/>
      <c r="I273" s="6" cm="1">
        <f t="array" aca="1" ref="I273" ca="1">INDIRECT("'"&amp;$C273&amp;"'!"&amp;I$2&amp;MATCH($D273,INDIRECT("'"&amp;$C273&amp;"'!$A:$A"),0))</f>
        <v>1435</v>
      </c>
      <c r="J273" s="6" cm="1">
        <f t="array" aca="1" ref="J273" ca="1">INDIRECT("'"&amp;$C273&amp;"'!"&amp;J$2&amp;MATCH($D273,INDIRECT("'"&amp;$C273&amp;"'!$A:$A"),0))</f>
        <v>989</v>
      </c>
      <c r="K273" s="6" cm="1">
        <f t="array" aca="1" ref="K273" ca="1">INDIRECT("'"&amp;$C273&amp;"'!"&amp;K$2&amp;MATCH($D273,INDIRECT("'"&amp;$C273&amp;"'!$A:$A"),0))</f>
        <v>6</v>
      </c>
      <c r="L273" s="6" cm="1">
        <f t="array" aca="1" ref="L273" ca="1">INDIRECT("'"&amp;$C273&amp;"'!"&amp;L$2&amp;MATCH($D273,INDIRECT("'"&amp;$C273&amp;"'!$A:$A"),0))</f>
        <v>446</v>
      </c>
    </row>
    <row r="274" spans="2:14" x14ac:dyDescent="0.35">
      <c r="B274" s="5" t="s">
        <v>258</v>
      </c>
      <c r="C274" s="5" t="s">
        <v>227</v>
      </c>
      <c r="D274" s="7">
        <v>8</v>
      </c>
      <c r="E274" s="17" cm="1">
        <f t="array" aca="1" ref="E274" ca="1">INDIRECT("'"&amp;$C274&amp;"'!"&amp;E$2&amp;MATCH($D274,INDIRECT("'"&amp;$C274&amp;"'!$A:$A"),0))</f>
        <v>0.99704999999999999</v>
      </c>
      <c r="F274" s="17" cm="1">
        <f t="array" aca="1" ref="F274" ca="1">INDIRECT("'"&amp;$C274&amp;"'!"&amp;F$2&amp;MATCH($D274,INDIRECT("'"&amp;$C274&amp;"'!$A:$A"),0))</f>
        <v>0.70662000000000003</v>
      </c>
      <c r="G274" s="17" cm="1">
        <f t="array" aca="1" ref="G274" ca="1">INDIRECT("'"&amp;$C274&amp;"'!"&amp;G$2&amp;MATCH($D274,INDIRECT("'"&amp;$C274&amp;"'!$A:$A"),0))</f>
        <v>0.82708000000000004</v>
      </c>
      <c r="H274" s="17"/>
      <c r="I274" s="6" cm="1">
        <f t="array" aca="1" ref="I274" ca="1">INDIRECT("'"&amp;$C274&amp;"'!"&amp;I$2&amp;MATCH($D274,INDIRECT("'"&amp;$C274&amp;"'!$A:$A"),0))</f>
        <v>1435</v>
      </c>
      <c r="J274" s="6" cm="1">
        <f t="array" aca="1" ref="J274" ca="1">INDIRECT("'"&amp;$C274&amp;"'!"&amp;J$2&amp;MATCH($D274,INDIRECT("'"&amp;$C274&amp;"'!$A:$A"),0))</f>
        <v>1014</v>
      </c>
      <c r="K274" s="6" cm="1">
        <f t="array" aca="1" ref="K274" ca="1">INDIRECT("'"&amp;$C274&amp;"'!"&amp;K$2&amp;MATCH($D274,INDIRECT("'"&amp;$C274&amp;"'!$A:$A"),0))</f>
        <v>3</v>
      </c>
      <c r="L274" s="6" cm="1">
        <f t="array" aca="1" ref="L274" ca="1">INDIRECT("'"&amp;$C274&amp;"'!"&amp;L$2&amp;MATCH($D274,INDIRECT("'"&amp;$C274&amp;"'!$A:$A"),0))</f>
        <v>421</v>
      </c>
    </row>
    <row r="275" spans="2:14" x14ac:dyDescent="0.35">
      <c r="B275" s="25" t="s">
        <v>260</v>
      </c>
      <c r="C275" s="5" t="s">
        <v>247</v>
      </c>
      <c r="D275" s="7">
        <v>8</v>
      </c>
      <c r="E275" s="17" cm="1">
        <f t="array" aca="1" ref="E275" ca="1">INDIRECT("'"&amp;$C275&amp;"'!"&amp;E$2&amp;MATCH($D275,INDIRECT("'"&amp;$C275&amp;"'!$A:$A"),0))</f>
        <v>0.98570999999999998</v>
      </c>
      <c r="F275" s="17" cm="1">
        <f t="array" aca="1" ref="F275" ca="1">INDIRECT("'"&amp;$C275&amp;"'!"&amp;F$2&amp;MATCH($D275,INDIRECT("'"&amp;$C275&amp;"'!$A:$A"),0))</f>
        <v>0.86551</v>
      </c>
      <c r="G275" s="17" cm="1">
        <f t="array" aca="1" ref="G275" ca="1">INDIRECT("'"&amp;$C275&amp;"'!"&amp;G$2&amp;MATCH($D275,INDIRECT("'"&amp;$C275&amp;"'!$A:$A"),0))</f>
        <v>0.92171000000000003</v>
      </c>
      <c r="H275" s="17"/>
      <c r="I275" s="6" cm="1">
        <f t="array" aca="1" ref="I275" ca="1">INDIRECT("'"&amp;$C275&amp;"'!"&amp;I$2&amp;MATCH($D275,INDIRECT("'"&amp;$C275&amp;"'!$A:$A"),0))</f>
        <v>1435</v>
      </c>
      <c r="J275" s="6" cm="1">
        <f t="array" aca="1" ref="J275" ca="1">INDIRECT("'"&amp;$C275&amp;"'!"&amp;J$2&amp;MATCH($D275,INDIRECT("'"&amp;$C275&amp;"'!$A:$A"),0))</f>
        <v>1242</v>
      </c>
      <c r="K275" s="6" cm="1">
        <f t="array" aca="1" ref="K275" ca="1">INDIRECT("'"&amp;$C275&amp;"'!"&amp;K$2&amp;MATCH($D275,INDIRECT("'"&amp;$C275&amp;"'!$A:$A"),0))</f>
        <v>18</v>
      </c>
      <c r="L275" s="6" cm="1">
        <f t="array" aca="1" ref="L275" ca="1">INDIRECT("'"&amp;$C275&amp;"'!"&amp;L$2&amp;MATCH($D275,INDIRECT("'"&amp;$C275&amp;"'!$A:$A"),0))</f>
        <v>193</v>
      </c>
    </row>
    <row r="276" spans="2:14" x14ac:dyDescent="0.35">
      <c r="B276" s="25" t="s">
        <v>261</v>
      </c>
      <c r="C276" s="5" t="s">
        <v>248</v>
      </c>
      <c r="D276" s="7">
        <v>8</v>
      </c>
      <c r="E276" s="17" cm="1">
        <f t="array" aca="1" ref="E276" ca="1">INDIRECT("'"&amp;$C276&amp;"'!"&amp;E$2&amp;MATCH($D276,INDIRECT("'"&amp;$C276&amp;"'!$A:$A"),0))</f>
        <v>0.98875999999999997</v>
      </c>
      <c r="F276" s="17" cm="1">
        <f t="array" aca="1" ref="F276" ca="1">INDIRECT("'"&amp;$C276&amp;"'!"&amp;F$2&amp;MATCH($D276,INDIRECT("'"&amp;$C276&amp;"'!$A:$A"),0))</f>
        <v>0.91915999999999998</v>
      </c>
      <c r="G276" s="17" cm="1">
        <f t="array" aca="1" ref="G276" ca="1">INDIRECT("'"&amp;$C276&amp;"'!"&amp;G$2&amp;MATCH($D276,INDIRECT("'"&amp;$C276&amp;"'!$A:$A"),0))</f>
        <v>0.95269000000000004</v>
      </c>
      <c r="H276" s="17"/>
      <c r="I276" s="6" cm="1">
        <f t="array" aca="1" ref="I276" ca="1">INDIRECT("'"&amp;$C276&amp;"'!"&amp;I$2&amp;MATCH($D276,INDIRECT("'"&amp;$C276&amp;"'!$A:$A"),0))</f>
        <v>1435</v>
      </c>
      <c r="J276" s="6" cm="1">
        <f t="array" aca="1" ref="J276" ca="1">INDIRECT("'"&amp;$C276&amp;"'!"&amp;J$2&amp;MATCH($D276,INDIRECT("'"&amp;$C276&amp;"'!$A:$A"),0))</f>
        <v>1319</v>
      </c>
      <c r="K276" s="6" cm="1">
        <f t="array" aca="1" ref="K276" ca="1">INDIRECT("'"&amp;$C276&amp;"'!"&amp;K$2&amp;MATCH($D276,INDIRECT("'"&amp;$C276&amp;"'!$A:$A"),0))</f>
        <v>15</v>
      </c>
      <c r="L276" s="6" cm="1">
        <f t="array" aca="1" ref="L276" ca="1">INDIRECT("'"&amp;$C276&amp;"'!"&amp;L$2&amp;MATCH($D276,INDIRECT("'"&amp;$C276&amp;"'!$A:$A"),0))</f>
        <v>116</v>
      </c>
    </row>
    <row r="277" spans="2:14" x14ac:dyDescent="0.35">
      <c r="B277" s="5" t="s">
        <v>282</v>
      </c>
      <c r="C277" s="5" t="s">
        <v>285</v>
      </c>
      <c r="D277" s="7">
        <v>8</v>
      </c>
      <c r="E277" s="17" cm="1">
        <f t="array" aca="1" ref="E277" ca="1">INDIRECT("'"&amp;$C277&amp;"'!"&amp;E$2&amp;MATCH($D277,INDIRECT("'"&amp;$C277&amp;"'!$A:$A"),0))</f>
        <v>0.98577999999999999</v>
      </c>
      <c r="F277" s="17" cm="1">
        <f t="array" aca="1" ref="F277" ca="1">INDIRECT("'"&amp;$C277&amp;"'!"&amp;F$2&amp;MATCH($D277,INDIRECT("'"&amp;$C277&amp;"'!$A:$A"),0))</f>
        <v>0.77281999999999995</v>
      </c>
      <c r="G277" s="17" cm="1">
        <f t="array" aca="1" ref="G277" ca="1">INDIRECT("'"&amp;$C277&amp;"'!"&amp;G$2&amp;MATCH($D277,INDIRECT("'"&amp;$C277&amp;"'!$A:$A"),0))</f>
        <v>0.86641000000000001</v>
      </c>
      <c r="H277" s="17"/>
      <c r="I277" s="6" cm="1">
        <f t="array" aca="1" ref="I277" ca="1">INDIRECT("'"&amp;$C277&amp;"'!"&amp;I$2&amp;MATCH($D277,INDIRECT("'"&amp;$C277&amp;"'!$A:$A"),0))</f>
        <v>1435</v>
      </c>
      <c r="J277" s="6" cm="1">
        <f t="array" aca="1" ref="J277" ca="1">INDIRECT("'"&amp;$C277&amp;"'!"&amp;J$2&amp;MATCH($D277,INDIRECT("'"&amp;$C277&amp;"'!$A:$A"),0))</f>
        <v>1109</v>
      </c>
      <c r="K277" s="6" cm="1">
        <f t="array" aca="1" ref="K277" ca="1">INDIRECT("'"&amp;$C277&amp;"'!"&amp;K$2&amp;MATCH($D277,INDIRECT("'"&amp;$C277&amp;"'!$A:$A"),0))</f>
        <v>16</v>
      </c>
      <c r="L277" s="6" cm="1">
        <f t="array" aca="1" ref="L277" ca="1">INDIRECT("'"&amp;$C277&amp;"'!"&amp;L$2&amp;MATCH($D277,INDIRECT("'"&amp;$C277&amp;"'!$A:$A"),0))</f>
        <v>326</v>
      </c>
    </row>
    <row r="278" spans="2:14" x14ac:dyDescent="0.35">
      <c r="B278" s="5" t="s">
        <v>283</v>
      </c>
      <c r="C278" s="5" t="s">
        <v>286</v>
      </c>
      <c r="D278" s="7">
        <v>8</v>
      </c>
      <c r="E278" s="17" cm="1">
        <f t="array" aca="1" ref="E278" ca="1">INDIRECT("'"&amp;$C278&amp;"'!"&amp;E$2&amp;MATCH($D278,INDIRECT("'"&amp;$C278&amp;"'!$A:$A"),0))</f>
        <v>0.99590000000000001</v>
      </c>
      <c r="F278" s="17" cm="1">
        <f t="array" aca="1" ref="F278" ca="1">INDIRECT("'"&amp;$C278&amp;"'!"&amp;F$2&amp;MATCH($D278,INDIRECT("'"&amp;$C278&amp;"'!$A:$A"),0))</f>
        <v>0.67735000000000001</v>
      </c>
      <c r="G278" s="17" cm="1">
        <f t="array" aca="1" ref="G278" ca="1">INDIRECT("'"&amp;$C278&amp;"'!"&amp;G$2&amp;MATCH($D278,INDIRECT("'"&amp;$C278&amp;"'!$A:$A"),0))</f>
        <v>0.80630000000000002</v>
      </c>
      <c r="H278" s="17"/>
      <c r="I278" s="6" cm="1">
        <f t="array" aca="1" ref="I278" ca="1">INDIRECT("'"&amp;$C278&amp;"'!"&amp;I$2&amp;MATCH($D278,INDIRECT("'"&amp;$C278&amp;"'!$A:$A"),0))</f>
        <v>1435</v>
      </c>
      <c r="J278" s="6" cm="1">
        <f t="array" aca="1" ref="J278" ca="1">INDIRECT("'"&amp;$C278&amp;"'!"&amp;J$2&amp;MATCH($D278,INDIRECT("'"&amp;$C278&amp;"'!$A:$A"),0))</f>
        <v>972</v>
      </c>
      <c r="K278" s="6" cm="1">
        <f t="array" aca="1" ref="K278" ca="1">INDIRECT("'"&amp;$C278&amp;"'!"&amp;K$2&amp;MATCH($D278,INDIRECT("'"&amp;$C278&amp;"'!$A:$A"),0))</f>
        <v>4</v>
      </c>
      <c r="L278" s="6" cm="1">
        <f t="array" aca="1" ref="L278" ca="1">INDIRECT("'"&amp;$C278&amp;"'!"&amp;L$2&amp;MATCH($D278,INDIRECT("'"&amp;$C278&amp;"'!$A:$A"),0))</f>
        <v>463</v>
      </c>
    </row>
    <row r="279" spans="2:14" x14ac:dyDescent="0.35">
      <c r="B279" s="5" t="s">
        <v>284</v>
      </c>
      <c r="C279" s="5" t="s">
        <v>287</v>
      </c>
      <c r="D279" s="7">
        <v>8</v>
      </c>
      <c r="E279" s="17" cm="1">
        <f t="array" aca="1" ref="E279" ca="1">INDIRECT("'"&amp;$C279&amp;"'!"&amp;E$2&amp;MATCH($D279,INDIRECT("'"&amp;$C279&amp;"'!$A:$A"),0))</f>
        <v>0.99038000000000004</v>
      </c>
      <c r="F279" s="17" cm="1">
        <f t="array" aca="1" ref="F279" ca="1">INDIRECT("'"&amp;$C279&amp;"'!"&amp;F$2&amp;MATCH($D279,INDIRECT("'"&amp;$C279&amp;"'!$A:$A"),0))</f>
        <v>0.78885000000000005</v>
      </c>
      <c r="G279" s="17" cm="1">
        <f t="array" aca="1" ref="G279" ca="1">INDIRECT("'"&amp;$C279&amp;"'!"&amp;G$2&amp;MATCH($D279,INDIRECT("'"&amp;$C279&amp;"'!$A:$A"),0))</f>
        <v>0.87819999999999998</v>
      </c>
      <c r="H279" s="17"/>
      <c r="I279" s="6" cm="1">
        <f t="array" aca="1" ref="I279" ca="1">INDIRECT("'"&amp;$C279&amp;"'!"&amp;I$2&amp;MATCH($D279,INDIRECT("'"&amp;$C279&amp;"'!$A:$A"),0))</f>
        <v>1435</v>
      </c>
      <c r="J279" s="6" cm="1">
        <f t="array" aca="1" ref="J279" ca="1">INDIRECT("'"&amp;$C279&amp;"'!"&amp;J$2&amp;MATCH($D279,INDIRECT("'"&amp;$C279&amp;"'!$A:$A"),0))</f>
        <v>1132</v>
      </c>
      <c r="K279" s="6" cm="1">
        <f t="array" aca="1" ref="K279" ca="1">INDIRECT("'"&amp;$C279&amp;"'!"&amp;K$2&amp;MATCH($D279,INDIRECT("'"&amp;$C279&amp;"'!$A:$A"),0))</f>
        <v>11</v>
      </c>
      <c r="L279" s="6" cm="1">
        <f t="array" aca="1" ref="L279" ca="1">INDIRECT("'"&amp;$C279&amp;"'!"&amp;L$2&amp;MATCH($D279,INDIRECT("'"&amp;$C279&amp;"'!$A:$A"),0))</f>
        <v>303</v>
      </c>
    </row>
    <row r="280" spans="2:14" x14ac:dyDescent="0.35">
      <c r="B280" s="5" t="s">
        <v>262</v>
      </c>
      <c r="C280" s="5" t="s">
        <v>222</v>
      </c>
      <c r="D280" s="7">
        <v>8</v>
      </c>
      <c r="E280" s="17" cm="1">
        <f t="array" aca="1" ref="E280" ca="1">INDIRECT("'"&amp;$C280&amp;"'!"&amp;E$2&amp;MATCH($D280,INDIRECT("'"&amp;$C280&amp;"'!$A:$A"),0))</f>
        <v>0.99143999999999999</v>
      </c>
      <c r="F280" s="17" cm="1">
        <f t="array" aca="1" ref="F280" ca="1">INDIRECT("'"&amp;$C280&amp;"'!"&amp;F$2&amp;MATCH($D280,INDIRECT("'"&amp;$C280&amp;"'!$A:$A"),0))</f>
        <v>0.80696999999999997</v>
      </c>
      <c r="G280" s="17" cm="1">
        <f t="array" aca="1" ref="G280" ca="1">INDIRECT("'"&amp;$C280&amp;"'!"&amp;G$2&amp;MATCH($D280,INDIRECT("'"&amp;$C280&amp;"'!$A:$A"),0))</f>
        <v>0.88973999999999998</v>
      </c>
      <c r="H280" s="17"/>
      <c r="I280" s="6" cm="1">
        <f t="array" aca="1" ref="I280" ca="1">INDIRECT("'"&amp;$C280&amp;"'!"&amp;I$2&amp;MATCH($D280,INDIRECT("'"&amp;$C280&amp;"'!$A:$A"),0))</f>
        <v>1435</v>
      </c>
      <c r="J280" s="6" cm="1">
        <f t="array" aca="1" ref="J280" ca="1">INDIRECT("'"&amp;$C280&amp;"'!"&amp;J$2&amp;MATCH($D280,INDIRECT("'"&amp;$C280&amp;"'!$A:$A"),0))</f>
        <v>1158</v>
      </c>
      <c r="K280" s="6" cm="1">
        <f t="array" aca="1" ref="K280" ca="1">INDIRECT("'"&amp;$C280&amp;"'!"&amp;K$2&amp;MATCH($D280,INDIRECT("'"&amp;$C280&amp;"'!$A:$A"),0))</f>
        <v>10</v>
      </c>
      <c r="L280" s="6" cm="1">
        <f t="array" aca="1" ref="L280" ca="1">INDIRECT("'"&amp;$C280&amp;"'!"&amp;L$2&amp;MATCH($D280,INDIRECT("'"&amp;$C280&amp;"'!$A:$A"),0))</f>
        <v>277</v>
      </c>
    </row>
    <row r="281" spans="2:14" x14ac:dyDescent="0.35">
      <c r="B281" s="5" t="s">
        <v>263</v>
      </c>
      <c r="C281" s="5" t="s">
        <v>223</v>
      </c>
      <c r="D281" s="7">
        <v>8</v>
      </c>
      <c r="E281" s="17" cm="1">
        <f t="array" aca="1" ref="E281" ca="1">INDIRECT("'"&amp;$C281&amp;"'!"&amp;E$2&amp;MATCH($D281,INDIRECT("'"&amp;$C281&amp;"'!$A:$A"),0))</f>
        <v>0.98851999999999995</v>
      </c>
      <c r="F281" s="17" cm="1">
        <f t="array" aca="1" ref="F281" ca="1">INDIRECT("'"&amp;$C281&amp;"'!"&amp;F$2&amp;MATCH($D281,INDIRECT("'"&amp;$C281&amp;"'!$A:$A"),0))</f>
        <v>0.83972000000000002</v>
      </c>
      <c r="G281" s="17" cm="1">
        <f t="array" aca="1" ref="G281" ca="1">INDIRECT("'"&amp;$C281&amp;"'!"&amp;G$2&amp;MATCH($D281,INDIRECT("'"&amp;$C281&amp;"'!$A:$A"),0))</f>
        <v>0.90805999999999998</v>
      </c>
      <c r="H281" s="17"/>
      <c r="I281" s="6" cm="1">
        <f t="array" aca="1" ref="I281" ca="1">INDIRECT("'"&amp;$C281&amp;"'!"&amp;I$2&amp;MATCH($D281,INDIRECT("'"&amp;$C281&amp;"'!$A:$A"),0))</f>
        <v>1435</v>
      </c>
      <c r="J281" s="6" cm="1">
        <f t="array" aca="1" ref="J281" ca="1">INDIRECT("'"&amp;$C281&amp;"'!"&amp;J$2&amp;MATCH($D281,INDIRECT("'"&amp;$C281&amp;"'!$A:$A"),0))</f>
        <v>1205</v>
      </c>
      <c r="K281" s="6" cm="1">
        <f t="array" aca="1" ref="K281" ca="1">INDIRECT("'"&amp;$C281&amp;"'!"&amp;K$2&amp;MATCH($D281,INDIRECT("'"&amp;$C281&amp;"'!$A:$A"),0))</f>
        <v>14</v>
      </c>
      <c r="L281" s="6" cm="1">
        <f t="array" aca="1" ref="L281" ca="1">INDIRECT("'"&amp;$C281&amp;"'!"&amp;L$2&amp;MATCH($D281,INDIRECT("'"&amp;$C281&amp;"'!$A:$A"),0))</f>
        <v>230</v>
      </c>
    </row>
    <row r="282" spans="2:14" x14ac:dyDescent="0.35">
      <c r="B282" s="24" t="s">
        <v>264</v>
      </c>
      <c r="C282" s="5" t="s">
        <v>224</v>
      </c>
      <c r="D282" s="7">
        <v>8</v>
      </c>
      <c r="E282" s="17" cm="1">
        <f t="array" aca="1" ref="E282" ca="1">INDIRECT("'"&amp;$C282&amp;"'!"&amp;E$2&amp;MATCH($D282,INDIRECT("'"&amp;$C282&amp;"'!$A:$A"),0))</f>
        <v>0.98912</v>
      </c>
      <c r="F282" s="17" cm="1">
        <f t="array" aca="1" ref="F282" ca="1">INDIRECT("'"&amp;$C282&amp;"'!"&amp;F$2&amp;MATCH($D282,INDIRECT("'"&amp;$C282&amp;"'!$A:$A"),0))</f>
        <v>0.88710999999999995</v>
      </c>
      <c r="G282" s="17" cm="1">
        <f t="array" aca="1" ref="G282" ca="1">INDIRECT("'"&amp;$C282&amp;"'!"&amp;G$2&amp;MATCH($D282,INDIRECT("'"&amp;$C282&amp;"'!$A:$A"),0))</f>
        <v>0.93533999999999995</v>
      </c>
      <c r="H282" s="17"/>
      <c r="I282" s="6" cm="1">
        <f t="array" aca="1" ref="I282" ca="1">INDIRECT("'"&amp;$C282&amp;"'!"&amp;I$2&amp;MATCH($D282,INDIRECT("'"&amp;$C282&amp;"'!$A:$A"),0))</f>
        <v>1435</v>
      </c>
      <c r="J282" s="6" cm="1">
        <f t="array" aca="1" ref="J282" ca="1">INDIRECT("'"&amp;$C282&amp;"'!"&amp;J$2&amp;MATCH($D282,INDIRECT("'"&amp;$C282&amp;"'!$A:$A"),0))</f>
        <v>1273</v>
      </c>
      <c r="K282" s="6" cm="1">
        <f t="array" aca="1" ref="K282" ca="1">INDIRECT("'"&amp;$C282&amp;"'!"&amp;K$2&amp;MATCH($D282,INDIRECT("'"&amp;$C282&amp;"'!$A:$A"),0))</f>
        <v>14</v>
      </c>
      <c r="L282" s="6" cm="1">
        <f t="array" aca="1" ref="L282" ca="1">INDIRECT("'"&amp;$C282&amp;"'!"&amp;L$2&amp;MATCH($D282,INDIRECT("'"&amp;$C282&amp;"'!$A:$A"),0))</f>
        <v>162</v>
      </c>
      <c r="M282" s="7"/>
      <c r="N282" s="9"/>
    </row>
    <row r="283" spans="2:14" x14ac:dyDescent="0.35">
      <c r="B283" s="5" t="s">
        <v>265</v>
      </c>
      <c r="C283" s="5" t="s">
        <v>233</v>
      </c>
      <c r="D283" s="7">
        <v>8</v>
      </c>
      <c r="E283" s="17" cm="1">
        <f t="array" aca="1" ref="E283" ca="1">INDIRECT("'"&amp;$C283&amp;"'!"&amp;E$2&amp;MATCH($D283,INDIRECT("'"&amp;$C283&amp;"'!$A:$A"),0))</f>
        <v>0.99241000000000001</v>
      </c>
      <c r="F283" s="17" cm="1">
        <f t="array" aca="1" ref="F283" ca="1">INDIRECT("'"&amp;$C283&amp;"'!"&amp;F$2&amp;MATCH($D283,INDIRECT("'"&amp;$C283&amp;"'!$A:$A"),0))</f>
        <v>0.82020999999999999</v>
      </c>
      <c r="G283" s="17" cm="1">
        <f t="array" aca="1" ref="G283" ca="1">INDIRECT("'"&amp;$C283&amp;"'!"&amp;G$2&amp;MATCH($D283,INDIRECT("'"&amp;$C283&amp;"'!$A:$A"),0))</f>
        <v>0.89812999999999998</v>
      </c>
      <c r="H283" s="17"/>
      <c r="I283" s="6" cm="1">
        <f t="array" aca="1" ref="I283" ca="1">INDIRECT("'"&amp;$C283&amp;"'!"&amp;I$2&amp;MATCH($D283,INDIRECT("'"&amp;$C283&amp;"'!$A:$A"),0))</f>
        <v>1435</v>
      </c>
      <c r="J283" s="6" cm="1">
        <f t="array" aca="1" ref="J283" ca="1">INDIRECT("'"&amp;$C283&amp;"'!"&amp;J$2&amp;MATCH($D283,INDIRECT("'"&amp;$C283&amp;"'!$A:$A"),0))</f>
        <v>1177</v>
      </c>
      <c r="K283" s="6" cm="1">
        <f t="array" aca="1" ref="K283" ca="1">INDIRECT("'"&amp;$C283&amp;"'!"&amp;K$2&amp;MATCH($D283,INDIRECT("'"&amp;$C283&amp;"'!$A:$A"),0))</f>
        <v>9</v>
      </c>
      <c r="L283" s="6" cm="1">
        <f t="array" aca="1" ref="L283" ca="1">INDIRECT("'"&amp;$C283&amp;"'!"&amp;L$2&amp;MATCH($D283,INDIRECT("'"&amp;$C283&amp;"'!$A:$A"),0))</f>
        <v>258</v>
      </c>
      <c r="M283" s="7"/>
      <c r="N283" s="9"/>
    </row>
    <row r="284" spans="2:14" x14ac:dyDescent="0.35">
      <c r="B284" s="5" t="s">
        <v>266</v>
      </c>
      <c r="C284" s="5" t="s">
        <v>232</v>
      </c>
      <c r="D284" s="7">
        <v>8</v>
      </c>
      <c r="E284" s="17" cm="1">
        <f t="array" aca="1" ref="E284" ca="1">INDIRECT("'"&amp;$C284&amp;"'!"&amp;E$2&amp;MATCH($D284,INDIRECT("'"&amp;$C284&amp;"'!$A:$A"),0))</f>
        <v>0.98551999999999995</v>
      </c>
      <c r="F284" s="17" cm="1">
        <f t="array" aca="1" ref="F284" ca="1">INDIRECT("'"&amp;$C284&amp;"'!"&amp;F$2&amp;MATCH($D284,INDIRECT("'"&amp;$C284&amp;"'!$A:$A"),0))</f>
        <v>0.90105000000000002</v>
      </c>
      <c r="G284" s="17" cm="1">
        <f t="array" aca="1" ref="G284" ca="1">INDIRECT("'"&amp;$C284&amp;"'!"&amp;G$2&amp;MATCH($D284,INDIRECT("'"&amp;$C284&amp;"'!$A:$A"),0))</f>
        <v>0.94138999999999995</v>
      </c>
      <c r="H284" s="17"/>
      <c r="I284" s="6" cm="1">
        <f t="array" aca="1" ref="I284" ca="1">INDIRECT("'"&amp;$C284&amp;"'!"&amp;I$2&amp;MATCH($D284,INDIRECT("'"&amp;$C284&amp;"'!$A:$A"),0))</f>
        <v>1435</v>
      </c>
      <c r="J284" s="6" cm="1">
        <f t="array" aca="1" ref="J284" ca="1">INDIRECT("'"&amp;$C284&amp;"'!"&amp;J$2&amp;MATCH($D284,INDIRECT("'"&amp;$C284&amp;"'!$A:$A"),0))</f>
        <v>1293</v>
      </c>
      <c r="K284" s="6" cm="1">
        <f t="array" aca="1" ref="K284" ca="1">INDIRECT("'"&amp;$C284&amp;"'!"&amp;K$2&amp;MATCH($D284,INDIRECT("'"&amp;$C284&amp;"'!$A:$A"),0))</f>
        <v>19</v>
      </c>
      <c r="L284" s="6" cm="1">
        <f t="array" aca="1" ref="L284" ca="1">INDIRECT("'"&amp;$C284&amp;"'!"&amp;L$2&amp;MATCH($D284,INDIRECT("'"&amp;$C284&amp;"'!$A:$A"),0))</f>
        <v>142</v>
      </c>
      <c r="M284" s="7"/>
      <c r="N284" s="9"/>
    </row>
    <row r="285" spans="2:14" x14ac:dyDescent="0.35">
      <c r="B285" s="25" t="s">
        <v>267</v>
      </c>
      <c r="C285" s="5" t="s">
        <v>234</v>
      </c>
      <c r="D285" s="7">
        <v>8</v>
      </c>
      <c r="E285" s="17" cm="1">
        <f t="array" aca="1" ref="E285" ca="1">INDIRECT("'"&amp;$C285&amp;"'!"&amp;E$2&amp;MATCH($D285,INDIRECT("'"&amp;$C285&amp;"'!$A:$A"),0))</f>
        <v>0.98821000000000003</v>
      </c>
      <c r="F285" s="17" cm="1">
        <f t="array" aca="1" ref="F285" ca="1">INDIRECT("'"&amp;$C285&amp;"'!"&amp;F$2&amp;MATCH($D285,INDIRECT("'"&amp;$C285&amp;"'!$A:$A"),0))</f>
        <v>0.93449000000000004</v>
      </c>
      <c r="G285" s="17" cm="1">
        <f t="array" aca="1" ref="G285" ca="1">INDIRECT("'"&amp;$C285&amp;"'!"&amp;G$2&amp;MATCH($D285,INDIRECT("'"&amp;$C285&amp;"'!$A:$A"),0))</f>
        <v>0.96060000000000001</v>
      </c>
      <c r="H285" s="17"/>
      <c r="I285" s="6" cm="1">
        <f t="array" aca="1" ref="I285" ca="1">INDIRECT("'"&amp;$C285&amp;"'!"&amp;I$2&amp;MATCH($D285,INDIRECT("'"&amp;$C285&amp;"'!$A:$A"),0))</f>
        <v>1435</v>
      </c>
      <c r="J285" s="6" cm="1">
        <f t="array" aca="1" ref="J285" ca="1">INDIRECT("'"&amp;$C285&amp;"'!"&amp;J$2&amp;MATCH($D285,INDIRECT("'"&amp;$C285&amp;"'!$A:$A"),0))</f>
        <v>1341</v>
      </c>
      <c r="K285" s="6" cm="1">
        <f t="array" aca="1" ref="K285" ca="1">INDIRECT("'"&amp;$C285&amp;"'!"&amp;K$2&amp;MATCH($D285,INDIRECT("'"&amp;$C285&amp;"'!$A:$A"),0))</f>
        <v>16</v>
      </c>
      <c r="L285" s="6" cm="1">
        <f t="array" aca="1" ref="L285" ca="1">INDIRECT("'"&amp;$C285&amp;"'!"&amp;L$2&amp;MATCH($D285,INDIRECT("'"&amp;$C285&amp;"'!$A:$A"),0))</f>
        <v>94</v>
      </c>
      <c r="M285" s="7"/>
      <c r="N285" s="9"/>
    </row>
    <row r="286" spans="2:14" x14ac:dyDescent="0.35">
      <c r="B286" s="5" t="s">
        <v>270</v>
      </c>
      <c r="C286" s="5" t="s">
        <v>268</v>
      </c>
      <c r="D286" s="7">
        <v>8</v>
      </c>
      <c r="E286" s="17" cm="1">
        <f t="array" aca="1" ref="E286" ca="1">INDIRECT("'"&amp;$C286&amp;"'!"&amp;E$2&amp;MATCH($D286,INDIRECT("'"&amp;$C286&amp;"'!$A:$A"),0))</f>
        <v>0</v>
      </c>
      <c r="F286" s="17" cm="1">
        <f t="array" aca="1" ref="F286" ca="1">INDIRECT("'"&amp;$C286&amp;"'!"&amp;F$2&amp;MATCH($D286,INDIRECT("'"&amp;$C286&amp;"'!$A:$A"),0))</f>
        <v>0</v>
      </c>
      <c r="G286" s="17" cm="1">
        <f t="array" aca="1" ref="G286" ca="1">INDIRECT("'"&amp;$C286&amp;"'!"&amp;G$2&amp;MATCH($D286,INDIRECT("'"&amp;$C286&amp;"'!$A:$A"),0))</f>
        <v>0</v>
      </c>
      <c r="H286" s="17"/>
      <c r="I286" s="6" cm="1">
        <f t="array" aca="1" ref="I286" ca="1">INDIRECT("'"&amp;$C286&amp;"'!"&amp;I$2&amp;MATCH($D286,INDIRECT("'"&amp;$C286&amp;"'!$A:$A"),0))</f>
        <v>1435</v>
      </c>
      <c r="J286" s="6" cm="1">
        <f t="array" aca="1" ref="J286" ca="1">INDIRECT("'"&amp;$C286&amp;"'!"&amp;J$2&amp;MATCH($D286,INDIRECT("'"&amp;$C286&amp;"'!$A:$A"),0))</f>
        <v>0</v>
      </c>
      <c r="K286" s="6" cm="1">
        <f t="array" aca="1" ref="K286" ca="1">INDIRECT("'"&amp;$C286&amp;"'!"&amp;K$2&amp;MATCH($D286,INDIRECT("'"&amp;$C286&amp;"'!$A:$A"),0))</f>
        <v>0</v>
      </c>
      <c r="L286" s="6" cm="1">
        <f t="array" aca="1" ref="L286" ca="1">INDIRECT("'"&amp;$C286&amp;"'!"&amp;L$2&amp;MATCH($D286,INDIRECT("'"&amp;$C286&amp;"'!$A:$A"),0))</f>
        <v>1435</v>
      </c>
      <c r="M286" s="7"/>
      <c r="N286" s="9"/>
    </row>
    <row r="287" spans="2:14" x14ac:dyDescent="0.35">
      <c r="B287" s="25" t="s">
        <v>271</v>
      </c>
      <c r="C287" s="5" t="s">
        <v>269</v>
      </c>
      <c r="D287" s="7">
        <v>8</v>
      </c>
      <c r="E287" s="17" cm="1">
        <f t="array" aca="1" ref="E287" ca="1">INDIRECT("'"&amp;$C287&amp;"'!"&amp;E$2&amp;MATCH($D287,INDIRECT("'"&amp;$C287&amp;"'!$A:$A"),0))</f>
        <v>0.98897000000000002</v>
      </c>
      <c r="F287" s="17" cm="1">
        <f t="array" aca="1" ref="F287" ca="1">INDIRECT("'"&amp;$C287&amp;"'!"&amp;F$2&amp;MATCH($D287,INDIRECT("'"&amp;$C287&amp;"'!$A:$A"),0))</f>
        <v>0.87456</v>
      </c>
      <c r="G287" s="17" cm="1">
        <f t="array" aca="1" ref="G287" ca="1">INDIRECT("'"&amp;$C287&amp;"'!"&amp;G$2&amp;MATCH($D287,INDIRECT("'"&amp;$C287&amp;"'!$A:$A"),0))</f>
        <v>0.92825000000000002</v>
      </c>
      <c r="H287" s="17"/>
      <c r="I287" s="6" cm="1">
        <f t="array" aca="1" ref="I287" ca="1">INDIRECT("'"&amp;$C287&amp;"'!"&amp;I$2&amp;MATCH($D287,INDIRECT("'"&amp;$C287&amp;"'!$A:$A"),0))</f>
        <v>1435</v>
      </c>
      <c r="J287" s="6" cm="1">
        <f t="array" aca="1" ref="J287" ca="1">INDIRECT("'"&amp;$C287&amp;"'!"&amp;J$2&amp;MATCH($D287,INDIRECT("'"&amp;$C287&amp;"'!$A:$A"),0))</f>
        <v>1255</v>
      </c>
      <c r="K287" s="6" cm="1">
        <f t="array" aca="1" ref="K287" ca="1">INDIRECT("'"&amp;$C287&amp;"'!"&amp;K$2&amp;MATCH($D287,INDIRECT("'"&amp;$C287&amp;"'!$A:$A"),0))</f>
        <v>14</v>
      </c>
      <c r="L287" s="6" cm="1">
        <f t="array" aca="1" ref="L287" ca="1">INDIRECT("'"&amp;$C287&amp;"'!"&amp;L$2&amp;MATCH($D287,INDIRECT("'"&amp;$C287&amp;"'!$A:$A"),0))</f>
        <v>180</v>
      </c>
      <c r="M287" s="7"/>
      <c r="N287" s="9"/>
    </row>
    <row r="288" spans="2:14" x14ac:dyDescent="0.35">
      <c r="D288" s="7"/>
      <c r="E288" s="17"/>
      <c r="F288" s="17"/>
      <c r="G288" s="17"/>
      <c r="H288" s="17"/>
      <c r="M288" s="7"/>
      <c r="N288" s="9"/>
    </row>
    <row r="290" spans="2:14" x14ac:dyDescent="0.35">
      <c r="B290" s="24" t="s">
        <v>246</v>
      </c>
      <c r="C290" s="5" t="s">
        <v>249</v>
      </c>
      <c r="D290" s="7" t="s">
        <v>16</v>
      </c>
      <c r="E290" s="17" cm="1">
        <f t="array" aca="1" ref="E290" ca="1">INDIRECT("'"&amp;$C290&amp;"'!"&amp;E$2&amp;MATCH($D290,INDIRECT("'"&amp;$C290&amp;"'!$A:$A"),0))</f>
        <v>0.82777999999999996</v>
      </c>
      <c r="F290" s="17" cm="1">
        <f t="array" aca="1" ref="F290" ca="1">INDIRECT("'"&amp;$C290&amp;"'!"&amp;F$2&amp;MATCH($D290,INDIRECT("'"&amp;$C290&amp;"'!$A:$A"),0))</f>
        <v>0.86628000000000005</v>
      </c>
      <c r="G290" s="17" cm="1">
        <f t="array" aca="1" ref="G290" ca="1">INDIRECT("'"&amp;$C290&amp;"'!"&amp;G$2&amp;MATCH($D290,INDIRECT("'"&amp;$C290&amp;"'!$A:$A"),0))</f>
        <v>0.84658999999999995</v>
      </c>
      <c r="H290" s="17"/>
      <c r="J290" s="6" cm="1">
        <f t="array" aca="1" ref="J290" ca="1">INDIRECT("'"&amp;$C290&amp;"'!"&amp;J$2&amp;MATCH($D290,INDIRECT("'"&amp;$C290&amp;"'!$A:$A"),0))</f>
        <v>149</v>
      </c>
      <c r="K290" s="6" cm="1">
        <f t="array" aca="1" ref="K290" ca="1">INDIRECT("'"&amp;$C290&amp;"'!"&amp;K$2&amp;MATCH($D290,INDIRECT("'"&amp;$C290&amp;"'!$A:$A"),0))</f>
        <v>31</v>
      </c>
      <c r="L290" s="6" cm="1">
        <f t="array" aca="1" ref="L290" ca="1">INDIRECT("'"&amp;$C290&amp;"'!"&amp;L$2&amp;MATCH($D290,INDIRECT("'"&amp;$C290&amp;"'!$A:$A"),0))</f>
        <v>23</v>
      </c>
      <c r="M290" s="6" cm="1">
        <f t="array" aca="1" ref="M290" ca="1">INDIRECT("'"&amp;$C290&amp;"'!"&amp;M$2&amp;MATCH($D290,INDIRECT("'"&amp;$C290&amp;"'!$A:$A"),0))</f>
        <v>1404</v>
      </c>
      <c r="N290" s="9" cm="1">
        <f t="array" aca="1" ref="N290" ca="1">INDIRECT("'"&amp;$C290&amp;"'!"&amp;N$2&amp;MATCH($D290,INDIRECT("'"&amp;$C290&amp;"'!$A:$A"),0))</f>
        <v>0.96640000000000004</v>
      </c>
    </row>
    <row r="291" spans="2:14" x14ac:dyDescent="0.35">
      <c r="B291" s="25" t="s">
        <v>251</v>
      </c>
      <c r="C291" s="5" t="s">
        <v>250</v>
      </c>
      <c r="D291" s="7" t="s">
        <v>16</v>
      </c>
      <c r="E291" s="17" cm="1">
        <f t="array" aca="1" ref="E291" ca="1">INDIRECT("'"&amp;$C291&amp;"'!"&amp;E$2&amp;MATCH($D291,INDIRECT("'"&amp;$C291&amp;"'!$A:$A"),0))</f>
        <v>0.73709000000000002</v>
      </c>
      <c r="F291" s="17" cm="1">
        <f t="array" aca="1" ref="F291" ca="1">INDIRECT("'"&amp;$C291&amp;"'!"&amp;F$2&amp;MATCH($D291,INDIRECT("'"&amp;$C291&amp;"'!$A:$A"),0))</f>
        <v>0.91278999999999999</v>
      </c>
      <c r="G291" s="17" cm="1">
        <f t="array" aca="1" ref="G291" ca="1">INDIRECT("'"&amp;$C291&amp;"'!"&amp;G$2&amp;MATCH($D291,INDIRECT("'"&amp;$C291&amp;"'!$A:$A"),0))</f>
        <v>0.81557999999999997</v>
      </c>
      <c r="H291" s="17"/>
      <c r="J291" s="6" cm="1">
        <f t="array" aca="1" ref="J291" ca="1">INDIRECT("'"&amp;$C291&amp;"'!"&amp;J$2&amp;MATCH($D291,INDIRECT("'"&amp;$C291&amp;"'!$A:$A"),0))</f>
        <v>157</v>
      </c>
      <c r="K291" s="6" cm="1">
        <f t="array" aca="1" ref="K291" ca="1">INDIRECT("'"&amp;$C291&amp;"'!"&amp;K$2&amp;MATCH($D291,INDIRECT("'"&amp;$C291&amp;"'!$A:$A"),0))</f>
        <v>56</v>
      </c>
      <c r="L291" s="6" cm="1">
        <f t="array" aca="1" ref="L291" ca="1">INDIRECT("'"&amp;$C291&amp;"'!"&amp;L$2&amp;MATCH($D291,INDIRECT("'"&amp;$C291&amp;"'!$A:$A"),0))</f>
        <v>15</v>
      </c>
      <c r="M291" s="6" cm="1">
        <f t="array" aca="1" ref="M291" ca="1">INDIRECT("'"&amp;$C291&amp;"'!"&amp;M$2&amp;MATCH($D291,INDIRECT("'"&amp;$C291&amp;"'!$A:$A"),0))</f>
        <v>1379</v>
      </c>
      <c r="N291" s="9" cm="1">
        <f t="array" aca="1" ref="N291" ca="1">INDIRECT("'"&amp;$C291&amp;"'!"&amp;N$2&amp;MATCH($D291,INDIRECT("'"&amp;$C291&amp;"'!$A:$A"),0))</f>
        <v>0.95582</v>
      </c>
    </row>
    <row r="292" spans="2:14" x14ac:dyDescent="0.35">
      <c r="B292" s="5" t="s">
        <v>252</v>
      </c>
      <c r="C292" s="5" t="s">
        <v>221</v>
      </c>
      <c r="D292" s="7" t="s">
        <v>16</v>
      </c>
      <c r="E292" s="17" cm="1">
        <f t="array" aca="1" ref="E292" ca="1">INDIRECT("'"&amp;$C292&amp;"'!"&amp;E$2&amp;MATCH($D292,INDIRECT("'"&amp;$C292&amp;"'!$A:$A"),0))</f>
        <v>0.24429000000000001</v>
      </c>
      <c r="F292" s="17" cm="1">
        <f t="array" aca="1" ref="F292" ca="1">INDIRECT("'"&amp;$C292&amp;"'!"&amp;F$2&amp;MATCH($D292,INDIRECT("'"&amp;$C292&amp;"'!$A:$A"),0))</f>
        <v>0.99419000000000002</v>
      </c>
      <c r="G292" s="17" cm="1">
        <f t="array" aca="1" ref="G292" ca="1">INDIRECT("'"&amp;$C292&amp;"'!"&amp;G$2&amp;MATCH($D292,INDIRECT("'"&amp;$C292&amp;"'!$A:$A"),0))</f>
        <v>0.39219999999999999</v>
      </c>
      <c r="H292" s="17"/>
      <c r="J292" s="6" cm="1">
        <f t="array" aca="1" ref="J292" ca="1">INDIRECT("'"&amp;$C292&amp;"'!"&amp;J$2&amp;MATCH($D292,INDIRECT("'"&amp;$C292&amp;"'!$A:$A"),0))</f>
        <v>171</v>
      </c>
      <c r="K292" s="6" cm="1">
        <f t="array" aca="1" ref="K292" ca="1">INDIRECT("'"&amp;$C292&amp;"'!"&amp;K$2&amp;MATCH($D292,INDIRECT("'"&amp;$C292&amp;"'!$A:$A"),0))</f>
        <v>529</v>
      </c>
      <c r="L292" s="6" cm="1">
        <f t="array" aca="1" ref="L292" ca="1">INDIRECT("'"&amp;$C292&amp;"'!"&amp;L$2&amp;MATCH($D292,INDIRECT("'"&amp;$C292&amp;"'!$A:$A"),0))</f>
        <v>1</v>
      </c>
      <c r="M292" s="6" cm="1">
        <f t="array" aca="1" ref="M292" ca="1">INDIRECT("'"&amp;$C292&amp;"'!"&amp;M$2&amp;MATCH($D292,INDIRECT("'"&amp;$C292&amp;"'!$A:$A"),0))</f>
        <v>906</v>
      </c>
      <c r="N292" s="9" cm="1">
        <f t="array" aca="1" ref="N292" ca="1">INDIRECT("'"&amp;$C292&amp;"'!"&amp;N$2&amp;MATCH($D292,INDIRECT("'"&amp;$C292&amp;"'!$A:$A"),0))</f>
        <v>0.67018999999999995</v>
      </c>
    </row>
    <row r="293" spans="2:14" x14ac:dyDescent="0.35">
      <c r="B293" s="5" t="s">
        <v>254</v>
      </c>
      <c r="C293" s="5" t="s">
        <v>220</v>
      </c>
      <c r="D293" s="7" t="s">
        <v>16</v>
      </c>
      <c r="E293" s="17" cm="1">
        <f t="array" aca="1" ref="E293" ca="1">INDIRECT("'"&amp;$C293&amp;"'!"&amp;E$2&amp;MATCH($D293,INDIRECT("'"&amp;$C293&amp;"'!$A:$A"),0))</f>
        <v>0.23662</v>
      </c>
      <c r="F293" s="17" cm="1">
        <f t="array" aca="1" ref="F293" ca="1">INDIRECT("'"&amp;$C293&amp;"'!"&amp;F$2&amp;MATCH($D293,INDIRECT("'"&amp;$C293&amp;"'!$A:$A"),0))</f>
        <v>0.97674000000000005</v>
      </c>
      <c r="G293" s="17" cm="1">
        <f t="array" aca="1" ref="G293" ca="1">INDIRECT("'"&amp;$C293&amp;"'!"&amp;G$2&amp;MATCH($D293,INDIRECT("'"&amp;$C293&amp;"'!$A:$A"),0))</f>
        <v>0.38095000000000001</v>
      </c>
      <c r="H293" s="17"/>
      <c r="J293" s="6" cm="1">
        <f t="array" aca="1" ref="J293" ca="1">INDIRECT("'"&amp;$C293&amp;"'!"&amp;J$2&amp;MATCH($D293,INDIRECT("'"&amp;$C293&amp;"'!$A:$A"),0))</f>
        <v>168</v>
      </c>
      <c r="K293" s="6" cm="1">
        <f t="array" aca="1" ref="K293" ca="1">INDIRECT("'"&amp;$C293&amp;"'!"&amp;K$2&amp;MATCH($D293,INDIRECT("'"&amp;$C293&amp;"'!$A:$A"),0))</f>
        <v>542</v>
      </c>
      <c r="L293" s="6" cm="1">
        <f t="array" aca="1" ref="L293" ca="1">INDIRECT("'"&amp;$C293&amp;"'!"&amp;L$2&amp;MATCH($D293,INDIRECT("'"&amp;$C293&amp;"'!$A:$A"),0))</f>
        <v>4</v>
      </c>
      <c r="M293" s="6" cm="1">
        <f t="array" aca="1" ref="M293" ca="1">INDIRECT("'"&amp;$C293&amp;"'!"&amp;M$2&amp;MATCH($D293,INDIRECT("'"&amp;$C293&amp;"'!$A:$A"),0))</f>
        <v>893</v>
      </c>
      <c r="N293" s="9" cm="1">
        <f t="array" aca="1" ref="N293" ca="1">INDIRECT("'"&amp;$C293&amp;"'!"&amp;N$2&amp;MATCH($D293,INDIRECT("'"&amp;$C293&amp;"'!$A:$A"),0))</f>
        <v>0.66024000000000005</v>
      </c>
    </row>
    <row r="294" spans="2:14" x14ac:dyDescent="0.35">
      <c r="B294" s="5" t="s">
        <v>253</v>
      </c>
      <c r="C294" s="5" t="s">
        <v>219</v>
      </c>
      <c r="D294" s="7" t="s">
        <v>16</v>
      </c>
      <c r="E294" s="17" cm="1">
        <f t="array" aca="1" ref="E294" ca="1">INDIRECT("'"&amp;$C294&amp;"'!"&amp;E$2&amp;MATCH($D294,INDIRECT("'"&amp;$C294&amp;"'!$A:$A"),0))</f>
        <v>0.32227</v>
      </c>
      <c r="F294" s="17" cm="1">
        <f t="array" aca="1" ref="F294" ca="1">INDIRECT("'"&amp;$C294&amp;"'!"&amp;F$2&amp;MATCH($D294,INDIRECT("'"&amp;$C294&amp;"'!$A:$A"),0))</f>
        <v>0.95930000000000004</v>
      </c>
      <c r="G294" s="17" cm="1">
        <f t="array" aca="1" ref="G294" ca="1">INDIRECT("'"&amp;$C294&amp;"'!"&amp;G$2&amp;MATCH($D294,INDIRECT("'"&amp;$C294&amp;"'!$A:$A"),0))</f>
        <v>0.48246</v>
      </c>
      <c r="H294" s="17"/>
      <c r="J294" s="6" cm="1">
        <f t="array" aca="1" ref="J294" ca="1">INDIRECT("'"&amp;$C294&amp;"'!"&amp;J$2&amp;MATCH($D294,INDIRECT("'"&amp;$C294&amp;"'!$A:$A"),0))</f>
        <v>165</v>
      </c>
      <c r="K294" s="6" cm="1">
        <f t="array" aca="1" ref="K294" ca="1">INDIRECT("'"&amp;$C294&amp;"'!"&amp;K$2&amp;MATCH($D294,INDIRECT("'"&amp;$C294&amp;"'!$A:$A"),0))</f>
        <v>347</v>
      </c>
      <c r="L294" s="6" cm="1">
        <f t="array" aca="1" ref="L294" ca="1">INDIRECT("'"&amp;$C294&amp;"'!"&amp;L$2&amp;MATCH($D294,INDIRECT("'"&amp;$C294&amp;"'!$A:$A"),0))</f>
        <v>7</v>
      </c>
      <c r="M294" s="6" cm="1">
        <f t="array" aca="1" ref="M294" ca="1">INDIRECT("'"&amp;$C294&amp;"'!"&amp;M$2&amp;MATCH($D294,INDIRECT("'"&amp;$C294&amp;"'!$A:$A"),0))</f>
        <v>1088</v>
      </c>
      <c r="N294" s="9" cm="1">
        <f t="array" aca="1" ref="N294" ca="1">INDIRECT("'"&amp;$C294&amp;"'!"&amp;N$2&amp;MATCH($D294,INDIRECT("'"&amp;$C294&amp;"'!$A:$A"),0))</f>
        <v>0.77971000000000001</v>
      </c>
    </row>
    <row r="295" spans="2:14" x14ac:dyDescent="0.35">
      <c r="B295" s="24" t="s">
        <v>259</v>
      </c>
      <c r="C295" s="5" t="s">
        <v>228</v>
      </c>
      <c r="D295" s="7" t="s">
        <v>16</v>
      </c>
      <c r="E295" s="17" cm="1">
        <f t="array" aca="1" ref="E295" ca="1">INDIRECT("'"&amp;$C295&amp;"'!"&amp;E$2&amp;MATCH($D295,INDIRECT("'"&amp;$C295&amp;"'!$A:$A"),0))</f>
        <v>0.34232000000000001</v>
      </c>
      <c r="F295" s="17" cm="1">
        <f t="array" aca="1" ref="F295" ca="1">INDIRECT("'"&amp;$C295&amp;"'!"&amp;F$2&amp;MATCH($D295,INDIRECT("'"&amp;$C295&amp;"'!$A:$A"),0))</f>
        <v>0.95930000000000004</v>
      </c>
      <c r="G295" s="17" cm="1">
        <f t="array" aca="1" ref="G295" ca="1">INDIRECT("'"&amp;$C295&amp;"'!"&amp;G$2&amp;MATCH($D295,INDIRECT("'"&amp;$C295&amp;"'!$A:$A"),0))</f>
        <v>0.50458999999999998</v>
      </c>
      <c r="H295" s="17"/>
      <c r="J295" s="6" cm="1">
        <f t="array" aca="1" ref="J295" ca="1">INDIRECT("'"&amp;$C295&amp;"'!"&amp;J$2&amp;MATCH($D295,INDIRECT("'"&amp;$C295&amp;"'!$A:$A"),0))</f>
        <v>165</v>
      </c>
      <c r="K295" s="6" cm="1">
        <f t="array" aca="1" ref="K295" ca="1">INDIRECT("'"&amp;$C295&amp;"'!"&amp;K$2&amp;MATCH($D295,INDIRECT("'"&amp;$C295&amp;"'!$A:$A"),0))</f>
        <v>317</v>
      </c>
      <c r="L295" s="6" cm="1">
        <f t="array" aca="1" ref="L295" ca="1">INDIRECT("'"&amp;$C295&amp;"'!"&amp;L$2&amp;MATCH($D295,INDIRECT("'"&amp;$C295&amp;"'!$A:$A"),0))</f>
        <v>7</v>
      </c>
      <c r="M295" s="6" cm="1">
        <f t="array" aca="1" ref="M295" ca="1">INDIRECT("'"&amp;$C295&amp;"'!"&amp;M$2&amp;MATCH($D295,INDIRECT("'"&amp;$C295&amp;"'!$A:$A"),0))</f>
        <v>1118</v>
      </c>
      <c r="N295" s="9" cm="1">
        <f t="array" aca="1" ref="N295" ca="1">INDIRECT("'"&amp;$C295&amp;"'!"&amp;N$2&amp;MATCH($D295,INDIRECT("'"&amp;$C295&amp;"'!$A:$A"),0))</f>
        <v>0.79837999999999998</v>
      </c>
    </row>
    <row r="296" spans="2:14" x14ac:dyDescent="0.35">
      <c r="B296" s="5" t="s">
        <v>255</v>
      </c>
      <c r="C296" s="5" t="s">
        <v>218</v>
      </c>
      <c r="D296" s="7" t="s">
        <v>16</v>
      </c>
      <c r="E296" s="17" cm="1">
        <f t="array" aca="1" ref="E296" ca="1">INDIRECT("'"&amp;$C296&amp;"'!"&amp;E$2&amp;MATCH($D296,INDIRECT("'"&amp;$C296&amp;"'!$A:$A"),0))</f>
        <v>0.18873999999999999</v>
      </c>
      <c r="F296" s="17" cm="1">
        <f t="array" aca="1" ref="F296" ca="1">INDIRECT("'"&amp;$C296&amp;"'!"&amp;F$2&amp;MATCH($D296,INDIRECT("'"&amp;$C296&amp;"'!$A:$A"),0))</f>
        <v>0.99419000000000002</v>
      </c>
      <c r="G296" s="17" cm="1">
        <f t="array" aca="1" ref="G296" ca="1">INDIRECT("'"&amp;$C296&amp;"'!"&amp;G$2&amp;MATCH($D296,INDIRECT("'"&amp;$C296&amp;"'!$A:$A"),0))</f>
        <v>0.31724999999999998</v>
      </c>
      <c r="H296" s="17"/>
      <c r="J296" s="6" cm="1">
        <f t="array" aca="1" ref="J296" ca="1">INDIRECT("'"&amp;$C296&amp;"'!"&amp;J$2&amp;MATCH($D296,INDIRECT("'"&amp;$C296&amp;"'!$A:$A"),0))</f>
        <v>171</v>
      </c>
      <c r="K296" s="6" cm="1">
        <f t="array" aca="1" ref="K296" ca="1">INDIRECT("'"&amp;$C296&amp;"'!"&amp;K$2&amp;MATCH($D296,INDIRECT("'"&amp;$C296&amp;"'!$A:$A"),0))</f>
        <v>735</v>
      </c>
      <c r="L296" s="6" cm="1">
        <f t="array" aca="1" ref="L296" ca="1">INDIRECT("'"&amp;$C296&amp;"'!"&amp;L$2&amp;MATCH($D296,INDIRECT("'"&amp;$C296&amp;"'!$A:$A"),0))</f>
        <v>1</v>
      </c>
      <c r="M296" s="6" cm="1">
        <f t="array" aca="1" ref="M296" ca="1">INDIRECT("'"&amp;$C296&amp;"'!"&amp;M$2&amp;MATCH($D296,INDIRECT("'"&amp;$C296&amp;"'!$A:$A"),0))</f>
        <v>700</v>
      </c>
      <c r="N296" s="9" cm="1">
        <f t="array" aca="1" ref="N296" ca="1">INDIRECT("'"&amp;$C296&amp;"'!"&amp;N$2&amp;MATCH($D296,INDIRECT("'"&amp;$C296&amp;"'!$A:$A"),0))</f>
        <v>0.54200000000000004</v>
      </c>
    </row>
    <row r="297" spans="2:14" x14ac:dyDescent="0.35">
      <c r="B297" s="5" t="s">
        <v>256</v>
      </c>
      <c r="C297" s="5" t="s">
        <v>217</v>
      </c>
      <c r="D297" s="7" t="s">
        <v>16</v>
      </c>
      <c r="E297" s="17" cm="1">
        <f t="array" aca="1" ref="E297" ca="1">INDIRECT("'"&amp;$C297&amp;"'!"&amp;E$2&amp;MATCH($D297,INDIRECT("'"&amp;$C297&amp;"'!$A:$A"),0))</f>
        <v>0.27110000000000001</v>
      </c>
      <c r="F297" s="17" cm="1">
        <f t="array" aca="1" ref="F297" ca="1">INDIRECT("'"&amp;$C297&amp;"'!"&amp;F$2&amp;MATCH($D297,INDIRECT("'"&amp;$C297&amp;"'!$A:$A"),0))</f>
        <v>0.97092999999999996</v>
      </c>
      <c r="G297" s="17" cm="1">
        <f t="array" aca="1" ref="G297" ca="1">INDIRECT("'"&amp;$C297&amp;"'!"&amp;G$2&amp;MATCH($D297,INDIRECT("'"&amp;$C297&amp;"'!$A:$A"),0))</f>
        <v>0.42386000000000001</v>
      </c>
      <c r="H297" s="17"/>
      <c r="J297" s="6" cm="1">
        <f t="array" aca="1" ref="J297" ca="1">INDIRECT("'"&amp;$C297&amp;"'!"&amp;J$2&amp;MATCH($D297,INDIRECT("'"&amp;$C297&amp;"'!$A:$A"),0))</f>
        <v>167</v>
      </c>
      <c r="K297" s="6" cm="1">
        <f t="array" aca="1" ref="K297" ca="1">INDIRECT("'"&amp;$C297&amp;"'!"&amp;K$2&amp;MATCH($D297,INDIRECT("'"&amp;$C297&amp;"'!$A:$A"),0))</f>
        <v>449</v>
      </c>
      <c r="L297" s="6" cm="1">
        <f t="array" aca="1" ref="L297" ca="1">INDIRECT("'"&amp;$C297&amp;"'!"&amp;L$2&amp;MATCH($D297,INDIRECT("'"&amp;$C297&amp;"'!$A:$A"),0))</f>
        <v>5</v>
      </c>
      <c r="M297" s="6" cm="1">
        <f t="array" aca="1" ref="M297" ca="1">INDIRECT("'"&amp;$C297&amp;"'!"&amp;M$2&amp;MATCH($D297,INDIRECT("'"&amp;$C297&amp;"'!$A:$A"),0))</f>
        <v>986</v>
      </c>
      <c r="N297" s="9" cm="1">
        <f t="array" aca="1" ref="N297" ca="1">INDIRECT("'"&amp;$C297&amp;"'!"&amp;N$2&amp;MATCH($D297,INDIRECT("'"&amp;$C297&amp;"'!$A:$A"),0))</f>
        <v>0.71748999999999996</v>
      </c>
    </row>
    <row r="298" spans="2:14" x14ac:dyDescent="0.35">
      <c r="B298" s="5" t="s">
        <v>257</v>
      </c>
      <c r="C298" s="5" t="s">
        <v>216</v>
      </c>
      <c r="D298" s="7" t="s">
        <v>16</v>
      </c>
      <c r="E298" s="17" cm="1">
        <f t="array" aca="1" ref="E298" ca="1">INDIRECT("'"&amp;$C298&amp;"'!"&amp;E$2&amp;MATCH($D298,INDIRECT("'"&amp;$C298&amp;"'!$A:$A"),0))</f>
        <v>0.27212999999999998</v>
      </c>
      <c r="F298" s="17" cm="1">
        <f t="array" aca="1" ref="F298" ca="1">INDIRECT("'"&amp;$C298&amp;"'!"&amp;F$2&amp;MATCH($D298,INDIRECT("'"&amp;$C298&amp;"'!$A:$A"),0))</f>
        <v>0.96511999999999998</v>
      </c>
      <c r="G298" s="17" cm="1">
        <f t="array" aca="1" ref="G298" ca="1">INDIRECT("'"&amp;$C298&amp;"'!"&amp;G$2&amp;MATCH($D298,INDIRECT("'"&amp;$C298&amp;"'!$A:$A"),0))</f>
        <v>0.42454999999999998</v>
      </c>
      <c r="H298" s="17"/>
      <c r="J298" s="6" cm="1">
        <f t="array" aca="1" ref="J298" ca="1">INDIRECT("'"&amp;$C298&amp;"'!"&amp;J$2&amp;MATCH($D298,INDIRECT("'"&amp;$C298&amp;"'!$A:$A"),0))</f>
        <v>166</v>
      </c>
      <c r="K298" s="6" cm="1">
        <f t="array" aca="1" ref="K298" ca="1">INDIRECT("'"&amp;$C298&amp;"'!"&amp;K$2&amp;MATCH($D298,INDIRECT("'"&amp;$C298&amp;"'!$A:$A"),0))</f>
        <v>444</v>
      </c>
      <c r="L298" s="6" cm="1">
        <f t="array" aca="1" ref="L298" ca="1">INDIRECT("'"&amp;$C298&amp;"'!"&amp;L$2&amp;MATCH($D298,INDIRECT("'"&amp;$C298&amp;"'!$A:$A"),0))</f>
        <v>6</v>
      </c>
      <c r="M298" s="6" cm="1">
        <f t="array" aca="1" ref="M298" ca="1">INDIRECT("'"&amp;$C298&amp;"'!"&amp;M$2&amp;MATCH($D298,INDIRECT("'"&amp;$C298&amp;"'!$A:$A"),0))</f>
        <v>991</v>
      </c>
      <c r="N298" s="9" cm="1">
        <f t="array" aca="1" ref="N298" ca="1">INDIRECT("'"&amp;$C298&amp;"'!"&amp;N$2&amp;MATCH($D298,INDIRECT("'"&amp;$C298&amp;"'!$A:$A"),0))</f>
        <v>0.71997999999999995</v>
      </c>
    </row>
    <row r="299" spans="2:14" x14ac:dyDescent="0.35">
      <c r="B299" s="5" t="s">
        <v>258</v>
      </c>
      <c r="C299" s="5" t="s">
        <v>227</v>
      </c>
      <c r="D299" s="7" t="s">
        <v>16</v>
      </c>
      <c r="E299" s="17" cm="1">
        <f t="array" aca="1" ref="E299" ca="1">INDIRECT("'"&amp;$C299&amp;"'!"&amp;E$2&amp;MATCH($D299,INDIRECT("'"&amp;$C299&amp;"'!$A:$A"),0))</f>
        <v>0.28643999999999997</v>
      </c>
      <c r="F299" s="17" cm="1">
        <f t="array" aca="1" ref="F299" ca="1">INDIRECT("'"&amp;$C299&amp;"'!"&amp;F$2&amp;MATCH($D299,INDIRECT("'"&amp;$C299&amp;"'!$A:$A"),0))</f>
        <v>0.98255999999999999</v>
      </c>
      <c r="G299" s="17" cm="1">
        <f t="array" aca="1" ref="G299" ca="1">INDIRECT("'"&amp;$C299&amp;"'!"&amp;G$2&amp;MATCH($D299,INDIRECT("'"&amp;$C299&amp;"'!$A:$A"),0))</f>
        <v>0.44357000000000002</v>
      </c>
      <c r="H299" s="17"/>
      <c r="J299" s="6" cm="1">
        <f t="array" aca="1" ref="J299" ca="1">INDIRECT("'"&amp;$C299&amp;"'!"&amp;J$2&amp;MATCH($D299,INDIRECT("'"&amp;$C299&amp;"'!$A:$A"),0))</f>
        <v>169</v>
      </c>
      <c r="K299" s="6" cm="1">
        <f t="array" aca="1" ref="K299" ca="1">INDIRECT("'"&amp;$C299&amp;"'!"&amp;K$2&amp;MATCH($D299,INDIRECT("'"&amp;$C299&amp;"'!$A:$A"),0))</f>
        <v>421</v>
      </c>
      <c r="L299" s="6" cm="1">
        <f t="array" aca="1" ref="L299" ca="1">INDIRECT("'"&amp;$C299&amp;"'!"&amp;L$2&amp;MATCH($D299,INDIRECT("'"&amp;$C299&amp;"'!$A:$A"),0))</f>
        <v>3</v>
      </c>
      <c r="M299" s="6" cm="1">
        <f t="array" aca="1" ref="M299" ca="1">INDIRECT("'"&amp;$C299&amp;"'!"&amp;M$2&amp;MATCH($D299,INDIRECT("'"&amp;$C299&amp;"'!$A:$A"),0))</f>
        <v>1014</v>
      </c>
      <c r="N299" s="9" cm="1">
        <f t="array" aca="1" ref="N299" ca="1">INDIRECT("'"&amp;$C299&amp;"'!"&amp;N$2&amp;MATCH($D299,INDIRECT("'"&amp;$C299&amp;"'!$A:$A"),0))</f>
        <v>0.73614999999999997</v>
      </c>
    </row>
    <row r="300" spans="2:14" x14ac:dyDescent="0.35">
      <c r="B300" s="25" t="s">
        <v>260</v>
      </c>
      <c r="C300" s="5" t="s">
        <v>247</v>
      </c>
      <c r="D300" s="7" t="s">
        <v>16</v>
      </c>
      <c r="E300" s="17" cm="1">
        <f t="array" aca="1" ref="E300" ca="1">INDIRECT("'"&amp;$C300&amp;"'!"&amp;E$2&amp;MATCH($D300,INDIRECT("'"&amp;$C300&amp;"'!$A:$A"),0))</f>
        <v>0.49045</v>
      </c>
      <c r="F300" s="17" cm="1">
        <f t="array" aca="1" ref="F300" ca="1">INDIRECT("'"&amp;$C300&amp;"'!"&amp;F$2&amp;MATCH($D300,INDIRECT("'"&amp;$C300&amp;"'!$A:$A"),0))</f>
        <v>0.89534999999999998</v>
      </c>
      <c r="G300" s="17" cm="1">
        <f t="array" aca="1" ref="G300" ca="1">INDIRECT("'"&amp;$C300&amp;"'!"&amp;G$2&amp;MATCH($D300,INDIRECT("'"&amp;$C300&amp;"'!$A:$A"),0))</f>
        <v>0.63373999999999997</v>
      </c>
      <c r="H300" s="17"/>
      <c r="J300" s="6" cm="1">
        <f t="array" aca="1" ref="J300" ca="1">INDIRECT("'"&amp;$C300&amp;"'!"&amp;J$2&amp;MATCH($D300,INDIRECT("'"&amp;$C300&amp;"'!$A:$A"),0))</f>
        <v>154</v>
      </c>
      <c r="K300" s="6" cm="1">
        <f t="array" aca="1" ref="K300" ca="1">INDIRECT("'"&amp;$C300&amp;"'!"&amp;K$2&amp;MATCH($D300,INDIRECT("'"&amp;$C300&amp;"'!$A:$A"),0))</f>
        <v>160</v>
      </c>
      <c r="L300" s="6" cm="1">
        <f t="array" aca="1" ref="L300" ca="1">INDIRECT("'"&amp;$C300&amp;"'!"&amp;L$2&amp;MATCH($D300,INDIRECT("'"&amp;$C300&amp;"'!$A:$A"),0))</f>
        <v>18</v>
      </c>
      <c r="M300" s="6" cm="1">
        <f t="array" aca="1" ref="M300" ca="1">INDIRECT("'"&amp;$C300&amp;"'!"&amp;M$2&amp;MATCH($D300,INDIRECT("'"&amp;$C300&amp;"'!$A:$A"),0))</f>
        <v>1275</v>
      </c>
      <c r="N300" s="9" cm="1">
        <f t="array" aca="1" ref="N300" ca="1">INDIRECT("'"&amp;$C300&amp;"'!"&amp;N$2&amp;MATCH($D300,INDIRECT("'"&amp;$C300&amp;"'!$A:$A"),0))</f>
        <v>0.88922999999999996</v>
      </c>
    </row>
    <row r="301" spans="2:14" x14ac:dyDescent="0.35">
      <c r="B301" s="25" t="s">
        <v>261</v>
      </c>
      <c r="C301" s="5" t="s">
        <v>248</v>
      </c>
      <c r="D301" s="7" t="s">
        <v>16</v>
      </c>
      <c r="E301" s="17" cm="1">
        <f t="array" aca="1" ref="E301" ca="1">INDIRECT("'"&amp;$C301&amp;"'!"&amp;E$2&amp;MATCH($D301,INDIRECT("'"&amp;$C301&amp;"'!$A:$A"),0))</f>
        <v>0.57508999999999999</v>
      </c>
      <c r="F301" s="17" cm="1">
        <f t="array" aca="1" ref="F301" ca="1">INDIRECT("'"&amp;$C301&amp;"'!"&amp;F$2&amp;MATCH($D301,INDIRECT("'"&amp;$C301&amp;"'!$A:$A"),0))</f>
        <v>0.91278999999999999</v>
      </c>
      <c r="G301" s="17" cm="1">
        <f t="array" aca="1" ref="G301" ca="1">INDIRECT("'"&amp;$C301&amp;"'!"&amp;G$2&amp;MATCH($D301,INDIRECT("'"&amp;$C301&amp;"'!$A:$A"),0))</f>
        <v>0.70562000000000002</v>
      </c>
      <c r="H301" s="17"/>
      <c r="J301" s="6" cm="1">
        <f t="array" aca="1" ref="J301" ca="1">INDIRECT("'"&amp;$C301&amp;"'!"&amp;J$2&amp;MATCH($D301,INDIRECT("'"&amp;$C301&amp;"'!$A:$A"),0))</f>
        <v>157</v>
      </c>
      <c r="K301" s="6" cm="1">
        <f t="array" aca="1" ref="K301" ca="1">INDIRECT("'"&amp;$C301&amp;"'!"&amp;K$2&amp;MATCH($D301,INDIRECT("'"&amp;$C301&amp;"'!$A:$A"),0))</f>
        <v>116</v>
      </c>
      <c r="L301" s="6" cm="1">
        <f t="array" aca="1" ref="L301" ca="1">INDIRECT("'"&amp;$C301&amp;"'!"&amp;L$2&amp;MATCH($D301,INDIRECT("'"&amp;$C301&amp;"'!$A:$A"),0))</f>
        <v>15</v>
      </c>
      <c r="M301" s="6" cm="1">
        <f t="array" aca="1" ref="M301" ca="1">INDIRECT("'"&amp;$C301&amp;"'!"&amp;M$2&amp;MATCH($D301,INDIRECT("'"&amp;$C301&amp;"'!$A:$A"),0))</f>
        <v>1319</v>
      </c>
      <c r="N301" s="9" cm="1">
        <f t="array" aca="1" ref="N301" ca="1">INDIRECT("'"&amp;$C301&amp;"'!"&amp;N$2&amp;MATCH($D301,INDIRECT("'"&amp;$C301&amp;"'!$A:$A"),0))</f>
        <v>0.91847999999999996</v>
      </c>
    </row>
    <row r="302" spans="2:14" x14ac:dyDescent="0.35">
      <c r="B302" s="5" t="s">
        <v>282</v>
      </c>
      <c r="C302" s="5" t="s">
        <v>285</v>
      </c>
      <c r="D302" s="7" t="s">
        <v>16</v>
      </c>
      <c r="E302" s="17" cm="1">
        <f t="array" aca="1" ref="E302" ca="1">INDIRECT("'"&amp;$C302&amp;"'!"&amp;E$2&amp;MATCH($D302,INDIRECT("'"&amp;$C302&amp;"'!$A:$A"),0))</f>
        <v>0.33987000000000001</v>
      </c>
      <c r="F302" s="17" cm="1">
        <f t="array" aca="1" ref="F302" ca="1">INDIRECT("'"&amp;$C302&amp;"'!"&amp;F$2&amp;MATCH($D302,INDIRECT("'"&amp;$C302&amp;"'!$A:$A"),0))</f>
        <v>0.90698000000000001</v>
      </c>
      <c r="G302" s="17" cm="1">
        <f t="array" aca="1" ref="G302" ca="1">INDIRECT("'"&amp;$C302&amp;"'!"&amp;G$2&amp;MATCH($D302,INDIRECT("'"&amp;$C302&amp;"'!$A:$A"),0))</f>
        <v>0.49445</v>
      </c>
      <c r="H302" s="17"/>
      <c r="J302" s="6" cm="1">
        <f t="array" aca="1" ref="J302" ca="1">INDIRECT("'"&amp;$C302&amp;"'!"&amp;J$2&amp;MATCH($D302,INDIRECT("'"&amp;$C302&amp;"'!$A:$A"),0))</f>
        <v>156</v>
      </c>
      <c r="K302" s="6" cm="1">
        <f t="array" aca="1" ref="K302" ca="1">INDIRECT("'"&amp;$C302&amp;"'!"&amp;K$2&amp;MATCH($D302,INDIRECT("'"&amp;$C302&amp;"'!$A:$A"),0))</f>
        <v>303</v>
      </c>
      <c r="L302" s="6" cm="1">
        <f t="array" aca="1" ref="L302" ca="1">INDIRECT("'"&amp;$C302&amp;"'!"&amp;L$2&amp;MATCH($D302,INDIRECT("'"&amp;$C302&amp;"'!$A:$A"),0))</f>
        <v>16</v>
      </c>
      <c r="M302" s="6" cm="1">
        <f t="array" aca="1" ref="M302" ca="1">INDIRECT("'"&amp;$C302&amp;"'!"&amp;M$2&amp;MATCH($D302,INDIRECT("'"&amp;$C302&amp;"'!$A:$A"),0))</f>
        <v>1132</v>
      </c>
      <c r="N302" s="9" cm="1">
        <f t="array" aca="1" ref="N302" ca="1">INDIRECT("'"&amp;$C302&amp;"'!"&amp;N$2&amp;MATCH($D302,INDIRECT("'"&amp;$C302&amp;"'!$A:$A"),0))</f>
        <v>0.80149000000000004</v>
      </c>
    </row>
    <row r="303" spans="2:14" x14ac:dyDescent="0.35">
      <c r="B303" s="5" t="s">
        <v>283</v>
      </c>
      <c r="C303" s="5" t="s">
        <v>286</v>
      </c>
      <c r="D303" s="7" t="s">
        <v>16</v>
      </c>
      <c r="E303" s="17" cm="1">
        <f t="array" aca="1" ref="E303" ca="1">INDIRECT("'"&amp;$C303&amp;"'!"&amp;E$2&amp;MATCH($D303,INDIRECT("'"&amp;$C303&amp;"'!$A:$A"),0))</f>
        <v>0.26623999999999998</v>
      </c>
      <c r="F303" s="17" cm="1">
        <f t="array" aca="1" ref="F303" ca="1">INDIRECT("'"&amp;$C303&amp;"'!"&amp;F$2&amp;MATCH($D303,INDIRECT("'"&amp;$C303&amp;"'!$A:$A"),0))</f>
        <v>0.97674000000000005</v>
      </c>
      <c r="G303" s="17" cm="1">
        <f t="array" aca="1" ref="G303" ca="1">INDIRECT("'"&amp;$C303&amp;"'!"&amp;G$2&amp;MATCH($D303,INDIRECT("'"&amp;$C303&amp;"'!$A:$A"),0))</f>
        <v>0.41843000000000002</v>
      </c>
      <c r="H303" s="17"/>
      <c r="J303" s="6" cm="1">
        <f t="array" aca="1" ref="J303" ca="1">INDIRECT("'"&amp;$C303&amp;"'!"&amp;J$2&amp;MATCH($D303,INDIRECT("'"&amp;$C303&amp;"'!$A:$A"),0))</f>
        <v>168</v>
      </c>
      <c r="K303" s="6" cm="1">
        <f t="array" aca="1" ref="K303" ca="1">INDIRECT("'"&amp;$C303&amp;"'!"&amp;K$2&amp;MATCH($D303,INDIRECT("'"&amp;$C303&amp;"'!$A:$A"),0))</f>
        <v>463</v>
      </c>
      <c r="L303" s="6" cm="1">
        <f t="array" aca="1" ref="L303" ca="1">INDIRECT("'"&amp;$C303&amp;"'!"&amp;L$2&amp;MATCH($D303,INDIRECT("'"&amp;$C303&amp;"'!$A:$A"),0))</f>
        <v>4</v>
      </c>
      <c r="M303" s="6" cm="1">
        <f t="array" aca="1" ref="M303" ca="1">INDIRECT("'"&amp;$C303&amp;"'!"&amp;M$2&amp;MATCH($D303,INDIRECT("'"&amp;$C303&amp;"'!$A:$A"),0))</f>
        <v>972</v>
      </c>
      <c r="N303" s="9" cm="1">
        <f t="array" aca="1" ref="N303" ca="1">INDIRECT("'"&amp;$C303&amp;"'!"&amp;N$2&amp;MATCH($D303,INDIRECT("'"&amp;$C303&amp;"'!$A:$A"),0))</f>
        <v>0.70940000000000003</v>
      </c>
    </row>
    <row r="304" spans="2:14" x14ac:dyDescent="0.35">
      <c r="B304" s="5" t="s">
        <v>284</v>
      </c>
      <c r="C304" s="5" t="s">
        <v>287</v>
      </c>
      <c r="D304" s="7" t="s">
        <v>16</v>
      </c>
      <c r="E304" s="17" cm="1">
        <f t="array" aca="1" ref="E304" ca="1">INDIRECT("'"&amp;$C304&amp;"'!"&amp;E$2&amp;MATCH($D304,INDIRECT("'"&amp;$C304&amp;"'!$A:$A"),0))</f>
        <v>0.34772999999999998</v>
      </c>
      <c r="F304" s="17" cm="1">
        <f t="array" aca="1" ref="F304" ca="1">INDIRECT("'"&amp;$C304&amp;"'!"&amp;F$2&amp;MATCH($D304,INDIRECT("'"&amp;$C304&amp;"'!$A:$A"),0))</f>
        <v>0.93605000000000005</v>
      </c>
      <c r="G304" s="17" cm="1">
        <f t="array" aca="1" ref="G304" ca="1">INDIRECT("'"&amp;$C304&amp;"'!"&amp;G$2&amp;MATCH($D304,INDIRECT("'"&amp;$C304&amp;"'!$A:$A"),0))</f>
        <v>0.50709000000000004</v>
      </c>
      <c r="H304" s="17"/>
      <c r="J304" s="6" cm="1">
        <f t="array" aca="1" ref="J304" ca="1">INDIRECT("'"&amp;$C304&amp;"'!"&amp;J$2&amp;MATCH($D304,INDIRECT("'"&amp;$C304&amp;"'!$A:$A"),0))</f>
        <v>161</v>
      </c>
      <c r="K304" s="6" cm="1">
        <f t="array" aca="1" ref="K304" ca="1">INDIRECT("'"&amp;$C304&amp;"'!"&amp;K$2&amp;MATCH($D304,INDIRECT("'"&amp;$C304&amp;"'!$A:$A"),0))</f>
        <v>302</v>
      </c>
      <c r="L304" s="6" cm="1">
        <f t="array" aca="1" ref="L304" ca="1">INDIRECT("'"&amp;$C304&amp;"'!"&amp;L$2&amp;MATCH($D304,INDIRECT("'"&amp;$C304&amp;"'!$A:$A"),0))</f>
        <v>11</v>
      </c>
      <c r="M304" s="6" cm="1">
        <f t="array" aca="1" ref="M304" ca="1">INDIRECT("'"&amp;$C304&amp;"'!"&amp;M$2&amp;MATCH($D304,INDIRECT("'"&amp;$C304&amp;"'!$A:$A"),0))</f>
        <v>1133</v>
      </c>
      <c r="N304" s="9" cm="1">
        <f t="array" aca="1" ref="N304" ca="1">INDIRECT("'"&amp;$C304&amp;"'!"&amp;N$2&amp;MATCH($D304,INDIRECT("'"&amp;$C304&amp;"'!$A:$A"),0))</f>
        <v>0.80523</v>
      </c>
    </row>
    <row r="305" spans="2:14" x14ac:dyDescent="0.35">
      <c r="B305" s="5" t="s">
        <v>262</v>
      </c>
      <c r="C305" s="5" t="s">
        <v>222</v>
      </c>
      <c r="D305" s="7" t="s">
        <v>16</v>
      </c>
      <c r="E305" s="17" cm="1">
        <f t="array" aca="1" ref="E305" ca="1">INDIRECT("'"&amp;$C305&amp;"'!"&amp;E$2&amp;MATCH($D305,INDIRECT("'"&amp;$C305&amp;"'!$A:$A"),0))</f>
        <v>0.36902000000000001</v>
      </c>
      <c r="F305" s="17" cm="1">
        <f t="array" aca="1" ref="F305" ca="1">INDIRECT("'"&amp;$C305&amp;"'!"&amp;F$2&amp;MATCH($D305,INDIRECT("'"&amp;$C305&amp;"'!$A:$A"),0))</f>
        <v>0.94186000000000003</v>
      </c>
      <c r="G305" s="17" cm="1">
        <f t="array" aca="1" ref="G305" ca="1">INDIRECT("'"&amp;$C305&amp;"'!"&amp;G$2&amp;MATCH($D305,INDIRECT("'"&amp;$C305&amp;"'!$A:$A"),0))</f>
        <v>0.53027999999999997</v>
      </c>
      <c r="H305" s="17"/>
      <c r="J305" s="6" cm="1">
        <f t="array" aca="1" ref="J305" ca="1">INDIRECT("'"&amp;$C305&amp;"'!"&amp;J$2&amp;MATCH($D305,INDIRECT("'"&amp;$C305&amp;"'!$A:$A"),0))</f>
        <v>162</v>
      </c>
      <c r="K305" s="6" cm="1">
        <f t="array" aca="1" ref="K305" ca="1">INDIRECT("'"&amp;$C305&amp;"'!"&amp;K$2&amp;MATCH($D305,INDIRECT("'"&amp;$C305&amp;"'!$A:$A"),0))</f>
        <v>277</v>
      </c>
      <c r="L305" s="6" cm="1">
        <f t="array" aca="1" ref="L305" ca="1">INDIRECT("'"&amp;$C305&amp;"'!"&amp;L$2&amp;MATCH($D305,INDIRECT("'"&amp;$C305&amp;"'!$A:$A"),0))</f>
        <v>10</v>
      </c>
      <c r="M305" s="6" cm="1">
        <f t="array" aca="1" ref="M305" ca="1">INDIRECT("'"&amp;$C305&amp;"'!"&amp;M$2&amp;MATCH($D305,INDIRECT("'"&amp;$C305&amp;"'!$A:$A"),0))</f>
        <v>1158</v>
      </c>
      <c r="N305" s="9" cm="1">
        <f t="array" aca="1" ref="N305" ca="1">INDIRECT("'"&amp;$C305&amp;"'!"&amp;N$2&amp;MATCH($D305,INDIRECT("'"&amp;$C305&amp;"'!$A:$A"),0))</f>
        <v>0.82140999999999997</v>
      </c>
    </row>
    <row r="306" spans="2:14" x14ac:dyDescent="0.35">
      <c r="B306" s="5" t="s">
        <v>263</v>
      </c>
      <c r="C306" s="5" t="s">
        <v>223</v>
      </c>
      <c r="D306" s="7" t="s">
        <v>16</v>
      </c>
      <c r="E306" s="17" cm="1">
        <f t="array" aca="1" ref="E306" ca="1">INDIRECT("'"&amp;$C306&amp;"'!"&amp;E$2&amp;MATCH($D306,INDIRECT("'"&amp;$C306&amp;"'!$A:$A"),0))</f>
        <v>0.40722000000000003</v>
      </c>
      <c r="F306" s="17" cm="1">
        <f t="array" aca="1" ref="F306" ca="1">INDIRECT("'"&amp;$C306&amp;"'!"&amp;F$2&amp;MATCH($D306,INDIRECT("'"&amp;$C306&amp;"'!$A:$A"),0))</f>
        <v>0.91859999999999997</v>
      </c>
      <c r="G306" s="17" cm="1">
        <f t="array" aca="1" ref="G306" ca="1">INDIRECT("'"&amp;$C306&amp;"'!"&amp;G$2&amp;MATCH($D306,INDIRECT("'"&amp;$C306&amp;"'!$A:$A"),0))</f>
        <v>0.56428999999999996</v>
      </c>
      <c r="H306" s="17"/>
      <c r="J306" s="6" cm="1">
        <f t="array" aca="1" ref="J306" ca="1">INDIRECT("'"&amp;$C306&amp;"'!"&amp;J$2&amp;MATCH($D306,INDIRECT("'"&amp;$C306&amp;"'!$A:$A"),0))</f>
        <v>158</v>
      </c>
      <c r="K306" s="6" cm="1">
        <f t="array" aca="1" ref="K306" ca="1">INDIRECT("'"&amp;$C306&amp;"'!"&amp;K$2&amp;MATCH($D306,INDIRECT("'"&amp;$C306&amp;"'!$A:$A"),0))</f>
        <v>230</v>
      </c>
      <c r="L306" s="6" cm="1">
        <f t="array" aca="1" ref="L306" ca="1">INDIRECT("'"&amp;$C306&amp;"'!"&amp;L$2&amp;MATCH($D306,INDIRECT("'"&amp;$C306&amp;"'!$A:$A"),0))</f>
        <v>14</v>
      </c>
      <c r="M306" s="6" cm="1">
        <f t="array" aca="1" ref="M306" ca="1">INDIRECT("'"&amp;$C306&amp;"'!"&amp;M$2&amp;MATCH($D306,INDIRECT("'"&amp;$C306&amp;"'!$A:$A"),0))</f>
        <v>1205</v>
      </c>
      <c r="N306" s="9" cm="1">
        <f t="array" aca="1" ref="N306" ca="1">INDIRECT("'"&amp;$C306&amp;"'!"&amp;N$2&amp;MATCH($D306,INDIRECT("'"&amp;$C306&amp;"'!$A:$A"),0))</f>
        <v>0.84816000000000003</v>
      </c>
    </row>
    <row r="307" spans="2:14" x14ac:dyDescent="0.35">
      <c r="B307" s="24" t="s">
        <v>264</v>
      </c>
      <c r="C307" s="5" t="s">
        <v>224</v>
      </c>
      <c r="D307" s="7" t="s">
        <v>16</v>
      </c>
      <c r="E307" s="17" cm="1">
        <f t="array" aca="1" ref="E307" ca="1">INDIRECT("'"&amp;$C307&amp;"'!"&amp;E$2&amp;MATCH($D307,INDIRECT("'"&amp;$C307&amp;"'!$A:$A"),0))</f>
        <v>0.49375000000000002</v>
      </c>
      <c r="F307" s="17" cm="1">
        <f t="array" aca="1" ref="F307" ca="1">INDIRECT("'"&amp;$C307&amp;"'!"&amp;F$2&amp;MATCH($D307,INDIRECT("'"&amp;$C307&amp;"'!$A:$A"),0))</f>
        <v>0.91859999999999997</v>
      </c>
      <c r="G307" s="17" cm="1">
        <f t="array" aca="1" ref="G307" ca="1">INDIRECT("'"&amp;$C307&amp;"'!"&amp;G$2&amp;MATCH($D307,INDIRECT("'"&amp;$C307&amp;"'!$A:$A"),0))</f>
        <v>0.64227999999999996</v>
      </c>
      <c r="H307" s="17"/>
      <c r="J307" s="6" cm="1">
        <f t="array" aca="1" ref="J307" ca="1">INDIRECT("'"&amp;$C307&amp;"'!"&amp;J$2&amp;MATCH($D307,INDIRECT("'"&amp;$C307&amp;"'!$A:$A"),0))</f>
        <v>158</v>
      </c>
      <c r="K307" s="6" cm="1">
        <f t="array" aca="1" ref="K307" ca="1">INDIRECT("'"&amp;$C307&amp;"'!"&amp;K$2&amp;MATCH($D307,INDIRECT("'"&amp;$C307&amp;"'!$A:$A"),0))</f>
        <v>162</v>
      </c>
      <c r="L307" s="6" cm="1">
        <f t="array" aca="1" ref="L307" ca="1">INDIRECT("'"&amp;$C307&amp;"'!"&amp;L$2&amp;MATCH($D307,INDIRECT("'"&amp;$C307&amp;"'!$A:$A"),0))</f>
        <v>14</v>
      </c>
      <c r="M307" s="6" cm="1">
        <f t="array" aca="1" ref="M307" ca="1">INDIRECT("'"&amp;$C307&amp;"'!"&amp;M$2&amp;MATCH($D307,INDIRECT("'"&amp;$C307&amp;"'!$A:$A"),0))</f>
        <v>1273</v>
      </c>
      <c r="N307" s="9" cm="1">
        <f t="array" aca="1" ref="N307" ca="1">INDIRECT("'"&amp;$C307&amp;"'!"&amp;N$2&amp;MATCH($D307,INDIRECT("'"&amp;$C307&amp;"'!$A:$A"),0))</f>
        <v>0.89048000000000005</v>
      </c>
    </row>
    <row r="308" spans="2:14" x14ac:dyDescent="0.35">
      <c r="B308" s="5" t="s">
        <v>265</v>
      </c>
      <c r="C308" s="5" t="s">
        <v>233</v>
      </c>
      <c r="D308" s="7" t="s">
        <v>16</v>
      </c>
      <c r="E308" s="17" cm="1">
        <f t="array" aca="1" ref="E308" ca="1">INDIRECT("'"&amp;$C308&amp;"'!"&amp;E$2&amp;MATCH($D308,INDIRECT("'"&amp;$C308&amp;"'!$A:$A"),0))</f>
        <v>0.38717000000000001</v>
      </c>
      <c r="F308" s="17" cm="1">
        <f t="array" aca="1" ref="F308" ca="1">INDIRECT("'"&amp;$C308&amp;"'!"&amp;F$2&amp;MATCH($D308,INDIRECT("'"&amp;$C308&amp;"'!$A:$A"),0))</f>
        <v>0.94767000000000001</v>
      </c>
      <c r="G308" s="17" cm="1">
        <f t="array" aca="1" ref="G308" ca="1">INDIRECT("'"&amp;$C308&amp;"'!"&amp;G$2&amp;MATCH($D308,INDIRECT("'"&amp;$C308&amp;"'!$A:$A"),0))</f>
        <v>0.54974999999999996</v>
      </c>
      <c r="H308" s="17"/>
      <c r="J308" s="6" cm="1">
        <f t="array" aca="1" ref="J308" ca="1">INDIRECT("'"&amp;$C308&amp;"'!"&amp;J$2&amp;MATCH($D308,INDIRECT("'"&amp;$C308&amp;"'!$A:$A"),0))</f>
        <v>163</v>
      </c>
      <c r="K308" s="6" cm="1">
        <f t="array" aca="1" ref="K308" ca="1">INDIRECT("'"&amp;$C308&amp;"'!"&amp;K$2&amp;MATCH($D308,INDIRECT("'"&amp;$C308&amp;"'!$A:$A"),0))</f>
        <v>258</v>
      </c>
      <c r="L308" s="6" cm="1">
        <f t="array" aca="1" ref="L308" ca="1">INDIRECT("'"&amp;$C308&amp;"'!"&amp;L$2&amp;MATCH($D308,INDIRECT("'"&amp;$C308&amp;"'!$A:$A"),0))</f>
        <v>9</v>
      </c>
      <c r="M308" s="6" cm="1">
        <f t="array" aca="1" ref="M308" ca="1">INDIRECT("'"&amp;$C308&amp;"'!"&amp;M$2&amp;MATCH($D308,INDIRECT("'"&amp;$C308&amp;"'!$A:$A"),0))</f>
        <v>1177</v>
      </c>
      <c r="N308" s="9" cm="1">
        <f t="array" aca="1" ref="N308" ca="1">INDIRECT("'"&amp;$C308&amp;"'!"&amp;N$2&amp;MATCH($D308,INDIRECT("'"&amp;$C308&amp;"'!$A:$A"),0))</f>
        <v>0.83384999999999998</v>
      </c>
    </row>
    <row r="309" spans="2:14" x14ac:dyDescent="0.35">
      <c r="B309" s="5" t="s">
        <v>266</v>
      </c>
      <c r="C309" s="5" t="s">
        <v>232</v>
      </c>
      <c r="D309" s="7" t="s">
        <v>16</v>
      </c>
      <c r="E309" s="17" cm="1">
        <f t="array" aca="1" ref="E309" ca="1">INDIRECT("'"&amp;$C309&amp;"'!"&amp;E$2&amp;MATCH($D309,INDIRECT("'"&amp;$C309&amp;"'!$A:$A"),0))</f>
        <v>0.51863999999999999</v>
      </c>
      <c r="F309" s="17" cm="1">
        <f t="array" aca="1" ref="F309" ca="1">INDIRECT("'"&amp;$C309&amp;"'!"&amp;F$2&amp;MATCH($D309,INDIRECT("'"&amp;$C309&amp;"'!$A:$A"),0))</f>
        <v>0.88953000000000004</v>
      </c>
      <c r="G309" s="17" cm="1">
        <f t="array" aca="1" ref="G309" ca="1">INDIRECT("'"&amp;$C309&amp;"'!"&amp;G$2&amp;MATCH($D309,INDIRECT("'"&amp;$C309&amp;"'!$A:$A"),0))</f>
        <v>0.65525</v>
      </c>
      <c r="H309" s="17"/>
      <c r="J309" s="6" cm="1">
        <f t="array" aca="1" ref="J309" ca="1">INDIRECT("'"&amp;$C309&amp;"'!"&amp;J$2&amp;MATCH($D309,INDIRECT("'"&amp;$C309&amp;"'!$A:$A"),0))</f>
        <v>153</v>
      </c>
      <c r="K309" s="6" cm="1">
        <f t="array" aca="1" ref="K309" ca="1">INDIRECT("'"&amp;$C309&amp;"'!"&amp;K$2&amp;MATCH($D309,INDIRECT("'"&amp;$C309&amp;"'!$A:$A"),0))</f>
        <v>142</v>
      </c>
      <c r="L309" s="6" cm="1">
        <f t="array" aca="1" ref="L309" ca="1">INDIRECT("'"&amp;$C309&amp;"'!"&amp;L$2&amp;MATCH($D309,INDIRECT("'"&amp;$C309&amp;"'!$A:$A"),0))</f>
        <v>19</v>
      </c>
      <c r="M309" s="6" cm="1">
        <f t="array" aca="1" ref="M309" ca="1">INDIRECT("'"&amp;$C309&amp;"'!"&amp;M$2&amp;MATCH($D309,INDIRECT("'"&amp;$C309&amp;"'!$A:$A"),0))</f>
        <v>1293</v>
      </c>
      <c r="N309" s="9" cm="1">
        <f t="array" aca="1" ref="N309" ca="1">INDIRECT("'"&amp;$C309&amp;"'!"&amp;N$2&amp;MATCH($D309,INDIRECT("'"&amp;$C309&amp;"'!$A:$A"),0))</f>
        <v>0.89981</v>
      </c>
    </row>
    <row r="310" spans="2:14" x14ac:dyDescent="0.35">
      <c r="B310" s="25" t="s">
        <v>267</v>
      </c>
      <c r="C310" s="5" t="s">
        <v>234</v>
      </c>
      <c r="D310" s="7" t="s">
        <v>16</v>
      </c>
      <c r="E310" s="17" cm="1">
        <f t="array" aca="1" ref="E310" ca="1">INDIRECT("'"&amp;$C310&amp;"'!"&amp;E$2&amp;MATCH($D310,INDIRECT("'"&amp;$C310&amp;"'!$A:$A"),0))</f>
        <v>0.624</v>
      </c>
      <c r="F310" s="17" cm="1">
        <f t="array" aca="1" ref="F310" ca="1">INDIRECT("'"&amp;$C310&amp;"'!"&amp;F$2&amp;MATCH($D310,INDIRECT("'"&amp;$C310&amp;"'!$A:$A"),0))</f>
        <v>0.90698000000000001</v>
      </c>
      <c r="G310" s="17" cm="1">
        <f t="array" aca="1" ref="G310" ca="1">INDIRECT("'"&amp;$C310&amp;"'!"&amp;G$2&amp;MATCH($D310,INDIRECT("'"&amp;$C310&amp;"'!$A:$A"),0))</f>
        <v>0.73934</v>
      </c>
      <c r="H310" s="17"/>
      <c r="J310" s="6" cm="1">
        <f t="array" aca="1" ref="J310" ca="1">INDIRECT("'"&amp;$C310&amp;"'!"&amp;J$2&amp;MATCH($D310,INDIRECT("'"&amp;$C310&amp;"'!$A:$A"),0))</f>
        <v>156</v>
      </c>
      <c r="K310" s="6" cm="1">
        <f t="array" aca="1" ref="K310" ca="1">INDIRECT("'"&amp;$C310&amp;"'!"&amp;K$2&amp;MATCH($D310,INDIRECT("'"&amp;$C310&amp;"'!$A:$A"),0))</f>
        <v>94</v>
      </c>
      <c r="L310" s="6" cm="1">
        <f t="array" aca="1" ref="L310" ca="1">INDIRECT("'"&amp;$C310&amp;"'!"&amp;L$2&amp;MATCH($D310,INDIRECT("'"&amp;$C310&amp;"'!$A:$A"),0))</f>
        <v>16</v>
      </c>
      <c r="M310" s="6" cm="1">
        <f t="array" aca="1" ref="M310" ca="1">INDIRECT("'"&amp;$C310&amp;"'!"&amp;M$2&amp;MATCH($D310,INDIRECT("'"&amp;$C310&amp;"'!$A:$A"),0))</f>
        <v>1341</v>
      </c>
      <c r="N310" s="9" cm="1">
        <f t="array" aca="1" ref="N310" ca="1">INDIRECT("'"&amp;$C310&amp;"'!"&amp;N$2&amp;MATCH($D310,INDIRECT("'"&amp;$C310&amp;"'!$A:$A"),0))</f>
        <v>0.93154999999999999</v>
      </c>
    </row>
    <row r="311" spans="2:14" x14ac:dyDescent="0.35">
      <c r="B311" s="5" t="s">
        <v>270</v>
      </c>
      <c r="C311" s="5" t="s">
        <v>268</v>
      </c>
      <c r="D311" s="7" t="s">
        <v>16</v>
      </c>
      <c r="E311" s="17" cm="1">
        <f t="array" aca="1" ref="E311" ca="1">INDIRECT("'"&amp;$C311&amp;"'!"&amp;E$2&amp;MATCH($D311,INDIRECT("'"&amp;$C311&amp;"'!$A:$A"),0))</f>
        <v>0.21867</v>
      </c>
      <c r="F311" s="17" cm="1">
        <f t="array" aca="1" ref="F311" ca="1">INDIRECT("'"&amp;$C311&amp;"'!"&amp;F$2&amp;MATCH($D311,INDIRECT("'"&amp;$C311&amp;"'!$A:$A"),0))</f>
        <v>0.99419000000000002</v>
      </c>
      <c r="G311" s="17" cm="1">
        <f t="array" aca="1" ref="G311" ca="1">INDIRECT("'"&amp;$C311&amp;"'!"&amp;G$2&amp;MATCH($D311,INDIRECT("'"&amp;$C311&amp;"'!$A:$A"),0))</f>
        <v>0.35848999999999998</v>
      </c>
      <c r="H311" s="17"/>
      <c r="J311" s="6" cm="1">
        <f t="array" aca="1" ref="J311" ca="1">INDIRECT("'"&amp;$C311&amp;"'!"&amp;J$2&amp;MATCH($D311,INDIRECT("'"&amp;$C311&amp;"'!$A:$A"),0))</f>
        <v>171</v>
      </c>
      <c r="K311" s="6" cm="1">
        <f t="array" aca="1" ref="K311" ca="1">INDIRECT("'"&amp;$C311&amp;"'!"&amp;K$2&amp;MATCH($D311,INDIRECT("'"&amp;$C311&amp;"'!$A:$A"),0))</f>
        <v>611</v>
      </c>
      <c r="L311" s="6" cm="1">
        <f t="array" aca="1" ref="L311" ca="1">INDIRECT("'"&amp;$C311&amp;"'!"&amp;L$2&amp;MATCH($D311,INDIRECT("'"&amp;$C311&amp;"'!$A:$A"),0))</f>
        <v>1</v>
      </c>
      <c r="M311" s="6" cm="1">
        <f t="array" aca="1" ref="M311" ca="1">INDIRECT("'"&amp;$C311&amp;"'!"&amp;M$2&amp;MATCH($D311,INDIRECT("'"&amp;$C311&amp;"'!$A:$A"),0))</f>
        <v>824</v>
      </c>
      <c r="N311" s="9" cm="1">
        <f t="array" aca="1" ref="N311" ca="1">INDIRECT("'"&amp;$C311&amp;"'!"&amp;N$2&amp;MATCH($D311,INDIRECT("'"&amp;$C311&amp;"'!$A:$A"),0))</f>
        <v>0.61917</v>
      </c>
    </row>
    <row r="312" spans="2:14" x14ac:dyDescent="0.35">
      <c r="B312" s="25" t="s">
        <v>271</v>
      </c>
      <c r="C312" s="5" t="s">
        <v>269</v>
      </c>
      <c r="D312" s="7" t="s">
        <v>16</v>
      </c>
      <c r="E312" s="17" cm="1">
        <f t="array" aca="1" ref="E312" ca="1">INDIRECT("'"&amp;$C312&amp;"'!"&amp;E$2&amp;MATCH($D312,INDIRECT("'"&amp;$C312&amp;"'!$A:$A"),0))</f>
        <v>0.51802999999999999</v>
      </c>
      <c r="F312" s="17" cm="1">
        <f t="array" aca="1" ref="F312" ca="1">INDIRECT("'"&amp;$C312&amp;"'!"&amp;F$2&amp;MATCH($D312,INDIRECT("'"&amp;$C312&amp;"'!$A:$A"),0))</f>
        <v>0.91859999999999997</v>
      </c>
      <c r="G312" s="17" cm="1">
        <f t="array" aca="1" ref="G312" ca="1">INDIRECT("'"&amp;$C312&amp;"'!"&amp;G$2&amp;MATCH($D312,INDIRECT("'"&amp;$C312&amp;"'!$A:$A"),0))</f>
        <v>0.66247</v>
      </c>
      <c r="H312" s="17"/>
      <c r="J312" s="6" cm="1">
        <f t="array" aca="1" ref="J312" ca="1">INDIRECT("'"&amp;$C312&amp;"'!"&amp;J$2&amp;MATCH($D312,INDIRECT("'"&amp;$C312&amp;"'!$A:$A"),0))</f>
        <v>158</v>
      </c>
      <c r="K312" s="6" cm="1">
        <f t="array" aca="1" ref="K312" ca="1">INDIRECT("'"&amp;$C312&amp;"'!"&amp;K$2&amp;MATCH($D312,INDIRECT("'"&amp;$C312&amp;"'!$A:$A"),0))</f>
        <v>147</v>
      </c>
      <c r="L312" s="6" cm="1">
        <f t="array" aca="1" ref="L312" ca="1">INDIRECT("'"&amp;$C312&amp;"'!"&amp;L$2&amp;MATCH($D312,INDIRECT("'"&amp;$C312&amp;"'!$A:$A"),0))</f>
        <v>14</v>
      </c>
      <c r="M312" s="6" cm="1">
        <f t="array" aca="1" ref="M312" ca="1">INDIRECT("'"&amp;$C312&amp;"'!"&amp;M$2&amp;MATCH($D312,INDIRECT("'"&amp;$C312&amp;"'!$A:$A"),0))</f>
        <v>1288</v>
      </c>
      <c r="N312" s="9" cm="1">
        <f t="array" aca="1" ref="N312" ca="1">INDIRECT("'"&amp;$C312&amp;"'!"&amp;N$2&amp;MATCH($D312,INDIRECT("'"&amp;$C312&amp;"'!$A:$A"),0))</f>
        <v>0.89981</v>
      </c>
    </row>
  </sheetData>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03A3F-21CD-46F4-9375-650EB002DEB8}">
  <dimension ref="A1:J121"/>
  <sheetViews>
    <sheetView topLeftCell="B1" workbookViewId="0">
      <pane ySplit="1" topLeftCell="A34" activePane="bottomLeft" state="frozen"/>
      <selection pane="bottomLeft" activeCell="I48" sqref="I48"/>
    </sheetView>
  </sheetViews>
  <sheetFormatPr defaultColWidth="8.6328125" defaultRowHeight="14.5" outlineLevelCol="1" x14ac:dyDescent="0.35"/>
  <cols>
    <col min="1" max="1" width="72.1796875" style="3" customWidth="1"/>
    <col min="2" max="2" width="82.36328125" style="10" customWidth="1"/>
    <col min="3" max="3" width="82.36328125" style="5" customWidth="1"/>
    <col min="4" max="4" width="59" style="3" hidden="1" customWidth="1" outlineLevel="1"/>
    <col min="5" max="5" width="59" style="3" hidden="1" customWidth="1" collapsed="1"/>
    <col min="6" max="8" width="59" style="3" hidden="1" customWidth="1"/>
    <col min="9" max="9" width="59" customWidth="1"/>
    <col min="10" max="10" width="83.26953125" style="5" customWidth="1"/>
    <col min="11" max="16384" width="8.6328125" style="5"/>
  </cols>
  <sheetData>
    <row r="1" spans="1:10" s="15" customFormat="1" x14ac:dyDescent="0.35">
      <c r="A1" s="16" t="s">
        <v>199</v>
      </c>
      <c r="B1" s="19" t="s">
        <v>155</v>
      </c>
      <c r="C1" s="15" t="s">
        <v>151</v>
      </c>
      <c r="D1" s="16" t="s">
        <v>153</v>
      </c>
      <c r="E1" s="16" t="s">
        <v>152</v>
      </c>
      <c r="F1" s="16" t="s">
        <v>154</v>
      </c>
      <c r="G1" s="16" t="s">
        <v>209</v>
      </c>
      <c r="H1" s="16" t="s">
        <v>229</v>
      </c>
      <c r="I1" s="16" t="s">
        <v>230</v>
      </c>
      <c r="J1" s="16" t="s">
        <v>231</v>
      </c>
    </row>
    <row r="2" spans="1:10" x14ac:dyDescent="0.35">
      <c r="A2" s="3" t="s">
        <v>34</v>
      </c>
      <c r="B2" s="12" t="s">
        <v>34</v>
      </c>
      <c r="C2" s="1" t="s">
        <v>34</v>
      </c>
      <c r="D2" s="1" t="s">
        <v>34</v>
      </c>
      <c r="E2" s="1" t="s">
        <v>34</v>
      </c>
      <c r="F2" s="1" t="s">
        <v>34</v>
      </c>
      <c r="G2" s="1" t="s">
        <v>34</v>
      </c>
      <c r="H2" s="1" t="s">
        <v>34</v>
      </c>
      <c r="I2" s="3" t="s">
        <v>161</v>
      </c>
      <c r="J2" s="1" t="s">
        <v>34</v>
      </c>
    </row>
    <row r="3" spans="1:10" ht="72.5" x14ac:dyDescent="0.35">
      <c r="A3" s="3" t="s">
        <v>35</v>
      </c>
      <c r="B3" s="10" t="s">
        <v>35</v>
      </c>
      <c r="C3" s="1" t="s">
        <v>150</v>
      </c>
      <c r="D3" s="3" t="s">
        <v>138</v>
      </c>
      <c r="E3" s="3" t="s">
        <v>150</v>
      </c>
      <c r="F3" s="3" t="s">
        <v>150</v>
      </c>
      <c r="G3" s="3" t="s">
        <v>150</v>
      </c>
      <c r="H3" s="1" t="s">
        <v>35</v>
      </c>
      <c r="I3" s="3" t="s">
        <v>35</v>
      </c>
      <c r="J3" s="1" t="s">
        <v>150</v>
      </c>
    </row>
    <row r="4" spans="1:10" x14ac:dyDescent="0.35">
      <c r="C4" s="3"/>
      <c r="I4" s="3"/>
      <c r="J4" s="3"/>
    </row>
    <row r="5" spans="1:10" x14ac:dyDescent="0.35">
      <c r="A5" s="3" t="s">
        <v>36</v>
      </c>
      <c r="B5" s="12" t="s">
        <v>36</v>
      </c>
      <c r="C5" s="1" t="s">
        <v>36</v>
      </c>
      <c r="D5" s="1" t="s">
        <v>36</v>
      </c>
      <c r="E5" s="1" t="s">
        <v>36</v>
      </c>
      <c r="F5" s="1" t="s">
        <v>36</v>
      </c>
      <c r="G5" s="1" t="s">
        <v>36</v>
      </c>
      <c r="H5" s="3" t="s">
        <v>36</v>
      </c>
      <c r="I5" s="3" t="s">
        <v>36</v>
      </c>
      <c r="J5" s="1" t="s">
        <v>36</v>
      </c>
    </row>
    <row r="6" spans="1:10" ht="29" x14ac:dyDescent="0.35">
      <c r="A6" s="3" t="s">
        <v>37</v>
      </c>
      <c r="B6" s="10" t="s">
        <v>37</v>
      </c>
      <c r="C6" s="3" t="s">
        <v>37</v>
      </c>
      <c r="D6" s="3" t="s">
        <v>136</v>
      </c>
      <c r="E6" s="3" t="s">
        <v>37</v>
      </c>
      <c r="F6" s="3" t="s">
        <v>37</v>
      </c>
      <c r="G6" s="3" t="s">
        <v>37</v>
      </c>
      <c r="H6" s="1" t="s">
        <v>37</v>
      </c>
      <c r="I6" s="3" t="s">
        <v>37</v>
      </c>
      <c r="J6" s="3" t="s">
        <v>37</v>
      </c>
    </row>
    <row r="7" spans="1:10" ht="29" x14ac:dyDescent="0.35">
      <c r="A7" s="3" t="s">
        <v>38</v>
      </c>
      <c r="B7" s="10" t="s">
        <v>38</v>
      </c>
      <c r="C7" s="3" t="s">
        <v>38</v>
      </c>
      <c r="D7" s="14" t="s">
        <v>139</v>
      </c>
      <c r="E7" s="3" t="s">
        <v>38</v>
      </c>
      <c r="F7" s="3" t="s">
        <v>39</v>
      </c>
      <c r="G7" s="3" t="s">
        <v>39</v>
      </c>
      <c r="H7" s="3" t="s">
        <v>38</v>
      </c>
      <c r="I7" s="3" t="s">
        <v>38</v>
      </c>
      <c r="J7" s="3" t="s">
        <v>38</v>
      </c>
    </row>
    <row r="8" spans="1:10" ht="43.5" x14ac:dyDescent="0.35">
      <c r="A8" s="3" t="s">
        <v>39</v>
      </c>
      <c r="B8" s="10" t="s">
        <v>39</v>
      </c>
      <c r="C8" s="3" t="s">
        <v>39</v>
      </c>
      <c r="D8" s="14" t="s">
        <v>148</v>
      </c>
      <c r="E8" s="3" t="s">
        <v>39</v>
      </c>
      <c r="F8" s="14" t="s">
        <v>207</v>
      </c>
      <c r="G8" s="14" t="s">
        <v>210</v>
      </c>
      <c r="H8" s="3" t="s">
        <v>39</v>
      </c>
      <c r="I8" s="3" t="s">
        <v>39</v>
      </c>
      <c r="J8" s="3" t="s">
        <v>39</v>
      </c>
    </row>
    <row r="9" spans="1:10" ht="29" x14ac:dyDescent="0.35">
      <c r="A9" s="3" t="s">
        <v>40</v>
      </c>
      <c r="B9" s="10" t="s">
        <v>40</v>
      </c>
      <c r="C9" s="3" t="s">
        <v>40</v>
      </c>
      <c r="E9" s="3" t="s">
        <v>40</v>
      </c>
      <c r="F9" s="3" t="s">
        <v>40</v>
      </c>
      <c r="G9" s="3" t="s">
        <v>40</v>
      </c>
      <c r="H9" s="3" t="s">
        <v>40</v>
      </c>
      <c r="I9" s="3" t="s">
        <v>40</v>
      </c>
      <c r="J9" s="3" t="s">
        <v>40</v>
      </c>
    </row>
    <row r="10" spans="1:10" x14ac:dyDescent="0.35">
      <c r="C10" s="3"/>
      <c r="I10" s="3"/>
      <c r="J10" s="3"/>
    </row>
    <row r="11" spans="1:10" ht="43.5" x14ac:dyDescent="0.35">
      <c r="A11" s="3" t="s">
        <v>125</v>
      </c>
      <c r="B11" s="10" t="s">
        <v>41</v>
      </c>
      <c r="C11" s="3" t="s">
        <v>125</v>
      </c>
      <c r="D11" s="3" t="s">
        <v>149</v>
      </c>
      <c r="E11" s="3" t="s">
        <v>125</v>
      </c>
      <c r="F11" s="3" t="s">
        <v>125</v>
      </c>
      <c r="G11" s="3" t="s">
        <v>125</v>
      </c>
      <c r="H11" s="3" t="s">
        <v>125</v>
      </c>
      <c r="I11" s="3" t="s">
        <v>125</v>
      </c>
      <c r="J11" s="3" t="s">
        <v>125</v>
      </c>
    </row>
    <row r="12" spans="1:10" ht="174" x14ac:dyDescent="0.35">
      <c r="A12" s="3" t="s">
        <v>156</v>
      </c>
      <c r="C12" s="18" t="s">
        <v>126</v>
      </c>
      <c r="D12" s="3" t="s">
        <v>140</v>
      </c>
      <c r="E12" s="3" t="s">
        <v>140</v>
      </c>
      <c r="F12" s="3" t="s">
        <v>208</v>
      </c>
      <c r="G12" s="3" t="s">
        <v>211</v>
      </c>
      <c r="H12" s="3" t="s">
        <v>156</v>
      </c>
      <c r="I12" s="3" t="s">
        <v>126</v>
      </c>
      <c r="J12" s="18" t="s">
        <v>126</v>
      </c>
    </row>
    <row r="13" spans="1:10" x14ac:dyDescent="0.35">
      <c r="B13" s="12" t="s">
        <v>42</v>
      </c>
      <c r="C13" s="3"/>
      <c r="I13" s="3"/>
      <c r="J13" s="3"/>
    </row>
    <row r="14" spans="1:10" ht="116" x14ac:dyDescent="0.35">
      <c r="A14" s="18" t="s">
        <v>157</v>
      </c>
      <c r="B14" s="12" t="s">
        <v>43</v>
      </c>
      <c r="C14" s="3" t="s">
        <v>137</v>
      </c>
      <c r="D14" s="3" t="s">
        <v>141</v>
      </c>
      <c r="E14" s="3" t="s">
        <v>141</v>
      </c>
      <c r="F14" s="3" t="s">
        <v>200</v>
      </c>
      <c r="G14" s="3" t="s">
        <v>212</v>
      </c>
      <c r="H14" s="3" t="s">
        <v>157</v>
      </c>
      <c r="I14" s="18" t="s">
        <v>127</v>
      </c>
      <c r="J14" s="3" t="s">
        <v>137</v>
      </c>
    </row>
    <row r="15" spans="1:10" ht="87" x14ac:dyDescent="0.35">
      <c r="B15" s="10" t="s">
        <v>44</v>
      </c>
      <c r="C15" s="3"/>
      <c r="I15" s="3"/>
      <c r="J15" s="3"/>
    </row>
    <row r="16" spans="1:10" ht="101.5" x14ac:dyDescent="0.35">
      <c r="A16" s="3" t="s">
        <v>158</v>
      </c>
      <c r="C16" s="18" t="s">
        <v>128</v>
      </c>
      <c r="D16" s="3" t="s">
        <v>142</v>
      </c>
      <c r="E16" s="3" t="s">
        <v>142</v>
      </c>
      <c r="F16" s="3" t="s">
        <v>201</v>
      </c>
      <c r="G16" s="3" t="s">
        <v>213</v>
      </c>
      <c r="H16" s="3" t="s">
        <v>158</v>
      </c>
      <c r="I16" s="18" t="s">
        <v>128</v>
      </c>
      <c r="J16" s="18" t="s">
        <v>128</v>
      </c>
    </row>
    <row r="17" spans="1:10" x14ac:dyDescent="0.35">
      <c r="B17" s="10" t="s">
        <v>45</v>
      </c>
      <c r="C17" s="3"/>
      <c r="I17" s="3"/>
      <c r="J17" s="3"/>
    </row>
    <row r="18" spans="1:10" ht="130.5" x14ac:dyDescent="0.35">
      <c r="A18" s="18" t="s">
        <v>129</v>
      </c>
      <c r="B18" s="10" t="s">
        <v>46</v>
      </c>
      <c r="C18" s="3" t="s">
        <v>129</v>
      </c>
      <c r="D18" s="3" t="s">
        <v>143</v>
      </c>
      <c r="E18" s="3" t="s">
        <v>143</v>
      </c>
      <c r="F18" s="3" t="s">
        <v>202</v>
      </c>
      <c r="G18" s="3" t="s">
        <v>214</v>
      </c>
      <c r="H18" s="3" t="s">
        <v>129</v>
      </c>
      <c r="I18" s="18" t="s">
        <v>129</v>
      </c>
      <c r="J18" s="3" t="s">
        <v>129</v>
      </c>
    </row>
    <row r="19" spans="1:10" ht="43.5" x14ac:dyDescent="0.35">
      <c r="B19" s="10" t="s">
        <v>47</v>
      </c>
      <c r="C19" s="3"/>
      <c r="I19" s="3"/>
      <c r="J19" s="3"/>
    </row>
    <row r="20" spans="1:10" ht="145" x14ac:dyDescent="0.35">
      <c r="A20" s="18" t="s">
        <v>159</v>
      </c>
      <c r="B20" s="10" t="s">
        <v>48</v>
      </c>
      <c r="C20" s="3" t="s">
        <v>130</v>
      </c>
      <c r="D20" s="3" t="s">
        <v>144</v>
      </c>
      <c r="E20" s="3" t="s">
        <v>144</v>
      </c>
      <c r="F20" s="3" t="s">
        <v>203</v>
      </c>
      <c r="G20" s="20" t="s">
        <v>159</v>
      </c>
      <c r="H20" s="3" t="s">
        <v>159</v>
      </c>
      <c r="I20" s="18" t="s">
        <v>130</v>
      </c>
      <c r="J20" s="3" t="s">
        <v>130</v>
      </c>
    </row>
    <row r="21" spans="1:10" ht="43.5" x14ac:dyDescent="0.35">
      <c r="B21" s="10" t="s">
        <v>49</v>
      </c>
      <c r="C21" s="3"/>
      <c r="I21" s="3"/>
      <c r="J21" s="3"/>
    </row>
    <row r="22" spans="1:10" ht="72.5" x14ac:dyDescent="0.35">
      <c r="A22" s="3" t="s">
        <v>131</v>
      </c>
      <c r="B22" s="10" t="s">
        <v>50</v>
      </c>
      <c r="C22" s="18" t="s">
        <v>131</v>
      </c>
      <c r="D22" s="3" t="s">
        <v>145</v>
      </c>
      <c r="E22" s="3" t="s">
        <v>145</v>
      </c>
      <c r="F22" s="3" t="s">
        <v>204</v>
      </c>
      <c r="G22" s="20" t="s">
        <v>131</v>
      </c>
      <c r="H22" s="3" t="s">
        <v>131</v>
      </c>
      <c r="I22" s="3" t="s">
        <v>131</v>
      </c>
      <c r="J22" s="18" t="s">
        <v>131</v>
      </c>
    </row>
    <row r="23" spans="1:10" ht="43.5" x14ac:dyDescent="0.35">
      <c r="B23" s="10" t="s">
        <v>51</v>
      </c>
      <c r="C23" s="3"/>
      <c r="I23" s="3"/>
      <c r="J23" s="3"/>
    </row>
    <row r="24" spans="1:10" ht="72.5" x14ac:dyDescent="0.35">
      <c r="A24" s="3" t="s">
        <v>132</v>
      </c>
      <c r="B24" s="10" t="s">
        <v>52</v>
      </c>
      <c r="C24" s="18" t="s">
        <v>132</v>
      </c>
      <c r="D24" s="3" t="s">
        <v>146</v>
      </c>
      <c r="E24" s="3" t="s">
        <v>146</v>
      </c>
      <c r="F24" s="3" t="s">
        <v>205</v>
      </c>
      <c r="G24" s="20" t="s">
        <v>132</v>
      </c>
      <c r="H24" s="3" t="s">
        <v>132</v>
      </c>
      <c r="I24" s="3" t="s">
        <v>132</v>
      </c>
      <c r="J24" s="18" t="s">
        <v>132</v>
      </c>
    </row>
    <row r="25" spans="1:10" ht="43.5" x14ac:dyDescent="0.35">
      <c r="B25" s="10" t="s">
        <v>53</v>
      </c>
      <c r="C25" s="3"/>
      <c r="I25" s="3"/>
      <c r="J25" s="3"/>
    </row>
    <row r="26" spans="1:10" ht="130.5" x14ac:dyDescent="0.35">
      <c r="A26" s="3" t="s">
        <v>160</v>
      </c>
      <c r="C26" s="18" t="s">
        <v>133</v>
      </c>
      <c r="D26" s="3" t="s">
        <v>147</v>
      </c>
      <c r="E26" s="3" t="s">
        <v>147</v>
      </c>
      <c r="F26" s="3" t="s">
        <v>206</v>
      </c>
      <c r="G26" s="20" t="s">
        <v>133</v>
      </c>
      <c r="H26" s="3" t="s">
        <v>160</v>
      </c>
      <c r="I26" s="3" t="s">
        <v>133</v>
      </c>
      <c r="J26" s="18" t="s">
        <v>133</v>
      </c>
    </row>
    <row r="27" spans="1:10" x14ac:dyDescent="0.35">
      <c r="B27" s="12" t="s">
        <v>54</v>
      </c>
      <c r="C27" s="3"/>
      <c r="I27" s="3"/>
      <c r="J27" s="3"/>
    </row>
    <row r="28" spans="1:10" ht="72.5" x14ac:dyDescent="0.35">
      <c r="A28" s="18" t="s">
        <v>134</v>
      </c>
      <c r="B28" s="10" t="s">
        <v>55</v>
      </c>
      <c r="C28" s="18" t="s">
        <v>134</v>
      </c>
      <c r="E28" s="3" t="s">
        <v>134</v>
      </c>
      <c r="F28" s="3" t="s">
        <v>134</v>
      </c>
      <c r="G28" s="3" t="s">
        <v>215</v>
      </c>
      <c r="H28" s="3" t="s">
        <v>134</v>
      </c>
      <c r="I28" s="3" t="s">
        <v>134</v>
      </c>
      <c r="J28" s="18" t="s">
        <v>134</v>
      </c>
    </row>
    <row r="29" spans="1:10" x14ac:dyDescent="0.35">
      <c r="C29" s="3"/>
      <c r="I29" s="3"/>
      <c r="J29" s="3"/>
    </row>
    <row r="30" spans="1:10" x14ac:dyDescent="0.35">
      <c r="A30" s="3" t="s">
        <v>135</v>
      </c>
      <c r="B30" s="10" t="s">
        <v>45</v>
      </c>
      <c r="C30" s="3" t="s">
        <v>135</v>
      </c>
      <c r="D30" s="3" t="s">
        <v>135</v>
      </c>
      <c r="E30" s="3" t="s">
        <v>135</v>
      </c>
      <c r="F30" s="3" t="s">
        <v>135</v>
      </c>
      <c r="G30" s="3" t="s">
        <v>135</v>
      </c>
      <c r="H30" s="3" t="s">
        <v>135</v>
      </c>
      <c r="I30" s="3" t="s">
        <v>135</v>
      </c>
      <c r="J30" s="3" t="s">
        <v>135</v>
      </c>
    </row>
    <row r="31" spans="1:10" ht="43.5" x14ac:dyDescent="0.35">
      <c r="B31" s="10" t="s">
        <v>56</v>
      </c>
      <c r="C31" s="3"/>
      <c r="I31" s="3"/>
      <c r="J31" s="3"/>
    </row>
    <row r="32" spans="1:10" ht="43.5" x14ac:dyDescent="0.35">
      <c r="A32" s="3" t="s">
        <v>119</v>
      </c>
      <c r="B32" s="10" t="s">
        <v>57</v>
      </c>
      <c r="C32" s="3" t="s">
        <v>119</v>
      </c>
      <c r="D32" s="3" t="s">
        <v>119</v>
      </c>
      <c r="E32" s="3" t="s">
        <v>119</v>
      </c>
      <c r="F32" s="3" t="s">
        <v>119</v>
      </c>
      <c r="G32" s="3" t="s">
        <v>119</v>
      </c>
      <c r="H32" s="3" t="s">
        <v>162</v>
      </c>
      <c r="I32" s="3" t="s">
        <v>162</v>
      </c>
      <c r="J32" s="3" t="s">
        <v>162</v>
      </c>
    </row>
    <row r="33" spans="1:10" ht="43.5" x14ac:dyDescent="0.35">
      <c r="A33" s="3" t="e" cm="1">
        <f t="array" ref="A33">- Return ONLY valid JSON.</f>
        <v>#NAME?</v>
      </c>
      <c r="B33" s="10" t="s">
        <v>58</v>
      </c>
      <c r="C33" s="14" t="s">
        <v>124</v>
      </c>
      <c r="D33" s="14" t="s">
        <v>124</v>
      </c>
      <c r="E33" s="14" t="s">
        <v>124</v>
      </c>
      <c r="F33" s="14" t="s">
        <v>124</v>
      </c>
      <c r="G33" s="14" t="s">
        <v>124</v>
      </c>
      <c r="H33" s="3" t="s">
        <v>163</v>
      </c>
      <c r="I33" s="3" t="s">
        <v>163</v>
      </c>
      <c r="J33" s="3" t="s">
        <v>163</v>
      </c>
    </row>
    <row r="34" spans="1:10" ht="43.5" x14ac:dyDescent="0.35">
      <c r="A34" s="3" t="s">
        <v>120</v>
      </c>
      <c r="B34" s="10" t="s">
        <v>59</v>
      </c>
      <c r="C34" s="3" t="s">
        <v>120</v>
      </c>
      <c r="D34" s="3" t="s">
        <v>120</v>
      </c>
      <c r="E34" s="3" t="s">
        <v>120</v>
      </c>
      <c r="F34" s="3" t="s">
        <v>120</v>
      </c>
      <c r="G34" s="3" t="s">
        <v>120</v>
      </c>
      <c r="H34" s="14" t="s">
        <v>164</v>
      </c>
      <c r="I34" s="3" t="s">
        <v>164</v>
      </c>
      <c r="J34" s="3" t="s">
        <v>164</v>
      </c>
    </row>
    <row r="35" spans="1:10" ht="43.5" x14ac:dyDescent="0.35">
      <c r="A35" s="3" t="s">
        <v>121</v>
      </c>
      <c r="B35" s="10" t="s">
        <v>60</v>
      </c>
      <c r="C35" s="3" t="s">
        <v>121</v>
      </c>
      <c r="D35" s="3" t="s">
        <v>121</v>
      </c>
      <c r="E35" s="3" t="s">
        <v>121</v>
      </c>
      <c r="F35" s="3" t="s">
        <v>121</v>
      </c>
      <c r="G35" s="3" t="s">
        <v>121</v>
      </c>
      <c r="I35" s="3"/>
      <c r="J35" s="3"/>
    </row>
    <row r="36" spans="1:10" ht="43.5" x14ac:dyDescent="0.35">
      <c r="A36" s="3" t="s">
        <v>122</v>
      </c>
      <c r="B36" s="10" t="s">
        <v>61</v>
      </c>
      <c r="C36" s="3" t="s">
        <v>122</v>
      </c>
      <c r="D36" s="3" t="s">
        <v>122</v>
      </c>
      <c r="E36" s="3" t="s">
        <v>122</v>
      </c>
      <c r="F36" s="3" t="s">
        <v>122</v>
      </c>
      <c r="G36" s="3" t="s">
        <v>122</v>
      </c>
      <c r="H36" s="3" t="s">
        <v>165</v>
      </c>
      <c r="I36" s="18" t="s">
        <v>165</v>
      </c>
      <c r="J36" s="18" t="s">
        <v>165</v>
      </c>
    </row>
    <row r="37" spans="1:10" ht="43.5" x14ac:dyDescent="0.35">
      <c r="A37" s="3" t="s">
        <v>123</v>
      </c>
      <c r="B37" s="10" t="s">
        <v>62</v>
      </c>
      <c r="C37" s="3" t="s">
        <v>123</v>
      </c>
      <c r="D37" s="3" t="s">
        <v>123</v>
      </c>
      <c r="E37" s="3" t="s">
        <v>123</v>
      </c>
      <c r="F37" s="3" t="s">
        <v>123</v>
      </c>
      <c r="G37" s="3" t="s">
        <v>123</v>
      </c>
      <c r="H37" s="3" t="s">
        <v>166</v>
      </c>
      <c r="I37" s="18" t="s">
        <v>166</v>
      </c>
      <c r="J37" s="18" t="s">
        <v>166</v>
      </c>
    </row>
    <row r="38" spans="1:10" ht="43.5" x14ac:dyDescent="0.35">
      <c r="B38" s="10" t="s">
        <v>63</v>
      </c>
      <c r="D38" s="5"/>
      <c r="E38" s="5"/>
      <c r="F38" s="5"/>
      <c r="G38" s="5"/>
      <c r="I38" s="3"/>
      <c r="J38" s="3"/>
    </row>
    <row r="39" spans="1:10" ht="43.5" x14ac:dyDescent="0.35">
      <c r="H39" s="5" t="s">
        <v>168</v>
      </c>
      <c r="I39" s="18" t="s">
        <v>167</v>
      </c>
      <c r="J39" s="18" t="s">
        <v>167</v>
      </c>
    </row>
    <row r="40" spans="1:10" x14ac:dyDescent="0.35">
      <c r="B40" s="12" t="s">
        <v>64</v>
      </c>
      <c r="H40" s="3" t="s">
        <v>169</v>
      </c>
      <c r="I40" s="18" t="s">
        <v>166</v>
      </c>
      <c r="J40" s="18" t="s">
        <v>166</v>
      </c>
    </row>
    <row r="41" spans="1:10" ht="87" x14ac:dyDescent="0.35">
      <c r="B41" s="10" t="s">
        <v>65</v>
      </c>
      <c r="I41" s="3"/>
      <c r="J41" s="3"/>
    </row>
    <row r="42" spans="1:10" ht="43.5" x14ac:dyDescent="0.35">
      <c r="H42" s="3" t="s">
        <v>170</v>
      </c>
      <c r="I42" s="3" t="s">
        <v>168</v>
      </c>
      <c r="J42" s="3" t="s">
        <v>168</v>
      </c>
    </row>
    <row r="43" spans="1:10" x14ac:dyDescent="0.35">
      <c r="B43" s="10" t="s">
        <v>45</v>
      </c>
      <c r="H43" s="3" t="s">
        <v>171</v>
      </c>
      <c r="I43" s="3" t="s">
        <v>169</v>
      </c>
      <c r="J43" s="3" t="s">
        <v>169</v>
      </c>
    </row>
    <row r="44" spans="1:10" ht="43.5" x14ac:dyDescent="0.35">
      <c r="B44" s="10" t="s">
        <v>66</v>
      </c>
      <c r="I44" s="3"/>
      <c r="J44" s="3"/>
    </row>
    <row r="45" spans="1:10" ht="43.5" x14ac:dyDescent="0.35">
      <c r="B45" s="10" t="s">
        <v>67</v>
      </c>
      <c r="H45" s="3" t="s">
        <v>172</v>
      </c>
      <c r="I45" s="3" t="s">
        <v>170</v>
      </c>
      <c r="J45" s="3" t="s">
        <v>170</v>
      </c>
    </row>
    <row r="46" spans="1:10" ht="43.5" x14ac:dyDescent="0.35">
      <c r="B46" s="10" t="s">
        <v>68</v>
      </c>
      <c r="H46" s="3" t="s">
        <v>173</v>
      </c>
      <c r="I46" s="3" t="s">
        <v>171</v>
      </c>
      <c r="J46" s="3" t="s">
        <v>171</v>
      </c>
    </row>
    <row r="47" spans="1:10" ht="43.5" x14ac:dyDescent="0.35">
      <c r="B47" s="10" t="s">
        <v>69</v>
      </c>
      <c r="I47" s="3"/>
      <c r="J47" s="3"/>
    </row>
    <row r="48" spans="1:10" ht="43.5" x14ac:dyDescent="0.35">
      <c r="B48" s="10" t="s">
        <v>70</v>
      </c>
      <c r="H48" s="3" t="s">
        <v>175</v>
      </c>
      <c r="I48" s="3" t="s">
        <v>172</v>
      </c>
      <c r="J48" s="3" t="s">
        <v>172</v>
      </c>
    </row>
    <row r="49" spans="2:10" ht="43.5" x14ac:dyDescent="0.35">
      <c r="B49" s="10" t="s">
        <v>71</v>
      </c>
      <c r="H49" s="3" t="s">
        <v>176</v>
      </c>
      <c r="I49" s="3" t="s">
        <v>173</v>
      </c>
      <c r="J49" s="3" t="s">
        <v>173</v>
      </c>
    </row>
    <row r="50" spans="2:10" ht="43.5" x14ac:dyDescent="0.35">
      <c r="B50" s="10" t="s">
        <v>72</v>
      </c>
      <c r="I50" s="3"/>
      <c r="J50" s="3"/>
    </row>
    <row r="51" spans="2:10" ht="116" x14ac:dyDescent="0.35">
      <c r="H51" s="3" t="s">
        <v>177</v>
      </c>
      <c r="I51" s="3" t="s">
        <v>174</v>
      </c>
      <c r="J51" s="3" t="s">
        <v>174</v>
      </c>
    </row>
    <row r="52" spans="2:10" x14ac:dyDescent="0.35">
      <c r="B52" s="12" t="s">
        <v>73</v>
      </c>
      <c r="H52" s="3" t="s">
        <v>178</v>
      </c>
      <c r="I52" s="3" t="s">
        <v>173</v>
      </c>
      <c r="J52" s="3" t="s">
        <v>173</v>
      </c>
    </row>
    <row r="53" spans="2:10" ht="101.5" x14ac:dyDescent="0.35">
      <c r="B53" s="10" t="s">
        <v>74</v>
      </c>
      <c r="I53" s="3"/>
      <c r="J53" s="3"/>
    </row>
    <row r="54" spans="2:10" ht="72.5" x14ac:dyDescent="0.35">
      <c r="H54" s="3" t="s">
        <v>179</v>
      </c>
      <c r="I54" s="3" t="s">
        <v>175</v>
      </c>
      <c r="J54" s="3" t="s">
        <v>175</v>
      </c>
    </row>
    <row r="55" spans="2:10" x14ac:dyDescent="0.35">
      <c r="B55" s="10" t="s">
        <v>45</v>
      </c>
      <c r="H55" s="3" t="s">
        <v>180</v>
      </c>
      <c r="I55" s="3" t="s">
        <v>176</v>
      </c>
      <c r="J55" s="3" t="s">
        <v>176</v>
      </c>
    </row>
    <row r="56" spans="2:10" ht="58" x14ac:dyDescent="0.35">
      <c r="B56" s="10" t="s">
        <v>75</v>
      </c>
      <c r="I56" s="3"/>
      <c r="J56" s="3"/>
    </row>
    <row r="57" spans="2:10" ht="58" x14ac:dyDescent="0.35">
      <c r="B57" s="10" t="s">
        <v>76</v>
      </c>
      <c r="H57" s="3" t="s">
        <v>181</v>
      </c>
      <c r="I57" s="3" t="s">
        <v>177</v>
      </c>
      <c r="J57" s="3" t="s">
        <v>177</v>
      </c>
    </row>
    <row r="58" spans="2:10" ht="43.5" x14ac:dyDescent="0.35">
      <c r="B58" s="10" t="s">
        <v>77</v>
      </c>
      <c r="H58" s="3" t="s">
        <v>182</v>
      </c>
      <c r="I58" s="3" t="s">
        <v>178</v>
      </c>
      <c r="J58" s="3" t="s">
        <v>178</v>
      </c>
    </row>
    <row r="59" spans="2:10" ht="43.5" x14ac:dyDescent="0.35">
      <c r="B59" s="10" t="s">
        <v>78</v>
      </c>
      <c r="I59" s="3"/>
      <c r="J59" s="3"/>
    </row>
    <row r="60" spans="2:10" ht="87" x14ac:dyDescent="0.35">
      <c r="B60" s="10" t="s">
        <v>79</v>
      </c>
      <c r="H60" s="3" t="s">
        <v>183</v>
      </c>
      <c r="I60" s="3" t="s">
        <v>179</v>
      </c>
      <c r="J60" s="3" t="s">
        <v>179</v>
      </c>
    </row>
    <row r="61" spans="2:10" ht="58" x14ac:dyDescent="0.35">
      <c r="B61" s="10" t="s">
        <v>80</v>
      </c>
      <c r="H61" s="3" t="s">
        <v>184</v>
      </c>
      <c r="I61" s="3" t="s">
        <v>180</v>
      </c>
      <c r="J61" s="3" t="s">
        <v>180</v>
      </c>
    </row>
    <row r="62" spans="2:10" ht="43.5" x14ac:dyDescent="0.35">
      <c r="B62" s="10" t="s">
        <v>81</v>
      </c>
      <c r="I62" s="3"/>
      <c r="J62" s="3"/>
    </row>
    <row r="63" spans="2:10" ht="43.5" x14ac:dyDescent="0.35">
      <c r="B63" s="10" t="s">
        <v>82</v>
      </c>
      <c r="H63" s="3" t="s">
        <v>187</v>
      </c>
      <c r="I63" s="3" t="s">
        <v>181</v>
      </c>
      <c r="J63" s="3" t="s">
        <v>181</v>
      </c>
    </row>
    <row r="64" spans="2:10" x14ac:dyDescent="0.35">
      <c r="H64" s="3" t="s">
        <v>188</v>
      </c>
      <c r="I64" s="3" t="s">
        <v>182</v>
      </c>
      <c r="J64" s="3" t="s">
        <v>182</v>
      </c>
    </row>
    <row r="65" spans="2:10" x14ac:dyDescent="0.35">
      <c r="B65" s="12" t="s">
        <v>83</v>
      </c>
      <c r="I65" s="3"/>
      <c r="J65" s="3"/>
    </row>
    <row r="66" spans="2:10" ht="87" x14ac:dyDescent="0.35">
      <c r="B66" s="10" t="s">
        <v>84</v>
      </c>
      <c r="H66" s="3" t="s">
        <v>189</v>
      </c>
      <c r="I66" s="3" t="s">
        <v>183</v>
      </c>
      <c r="J66" s="3" t="s">
        <v>183</v>
      </c>
    </row>
    <row r="67" spans="2:10" x14ac:dyDescent="0.35">
      <c r="H67" s="3" t="s">
        <v>188</v>
      </c>
      <c r="I67" s="3" t="s">
        <v>184</v>
      </c>
      <c r="J67" s="3" t="s">
        <v>184</v>
      </c>
    </row>
    <row r="68" spans="2:10" x14ac:dyDescent="0.35">
      <c r="B68" s="10" t="s">
        <v>45</v>
      </c>
      <c r="I68" s="3"/>
      <c r="J68" s="3"/>
    </row>
    <row r="69" spans="2:10" ht="72.5" x14ac:dyDescent="0.35">
      <c r="B69" s="10" t="s">
        <v>85</v>
      </c>
      <c r="H69" s="3" t="s">
        <v>197</v>
      </c>
      <c r="I69" s="3" t="s">
        <v>185</v>
      </c>
      <c r="J69" s="3" t="s">
        <v>185</v>
      </c>
    </row>
    <row r="70" spans="2:10" ht="58" x14ac:dyDescent="0.35">
      <c r="B70" s="10" t="s">
        <v>86</v>
      </c>
      <c r="H70" s="3" t="s">
        <v>188</v>
      </c>
      <c r="I70" s="3" t="s">
        <v>180</v>
      </c>
      <c r="J70" s="3" t="s">
        <v>180</v>
      </c>
    </row>
    <row r="71" spans="2:10" ht="43.5" x14ac:dyDescent="0.35">
      <c r="B71" s="10" t="s">
        <v>87</v>
      </c>
      <c r="I71" s="3"/>
      <c r="J71" s="3"/>
    </row>
    <row r="72" spans="2:10" ht="43.5" x14ac:dyDescent="0.35">
      <c r="B72" s="10" t="s">
        <v>88</v>
      </c>
      <c r="H72" s="3" t="s">
        <v>198</v>
      </c>
      <c r="I72" s="3" t="s">
        <v>186</v>
      </c>
      <c r="J72" s="3" t="s">
        <v>186</v>
      </c>
    </row>
    <row r="73" spans="2:10" ht="43.5" x14ac:dyDescent="0.35">
      <c r="B73" s="10" t="s">
        <v>89</v>
      </c>
      <c r="H73" s="3" t="s">
        <v>188</v>
      </c>
      <c r="I73" s="3" t="s">
        <v>171</v>
      </c>
      <c r="J73" s="3" t="s">
        <v>171</v>
      </c>
    </row>
    <row r="74" spans="2:10" ht="58" x14ac:dyDescent="0.35">
      <c r="B74" s="10" t="s">
        <v>90</v>
      </c>
      <c r="I74" s="3"/>
      <c r="J74" s="3"/>
    </row>
    <row r="75" spans="2:10" ht="43.5" x14ac:dyDescent="0.35">
      <c r="H75" s="3" t="s">
        <v>135</v>
      </c>
      <c r="I75" s="3" t="s">
        <v>187</v>
      </c>
      <c r="J75" s="3" t="s">
        <v>187</v>
      </c>
    </row>
    <row r="76" spans="2:10" x14ac:dyDescent="0.35">
      <c r="B76" s="12" t="s">
        <v>91</v>
      </c>
      <c r="I76" s="3" t="s">
        <v>188</v>
      </c>
      <c r="J76" s="3" t="s">
        <v>188</v>
      </c>
    </row>
    <row r="77" spans="2:10" ht="101.5" x14ac:dyDescent="0.35">
      <c r="B77" s="10" t="s">
        <v>92</v>
      </c>
      <c r="H77" s="3" t="s">
        <v>119</v>
      </c>
      <c r="I77" s="3"/>
      <c r="J77" s="3"/>
    </row>
    <row r="78" spans="2:10" ht="29" x14ac:dyDescent="0.35">
      <c r="H78" s="3" t="e" cm="1">
        <f t="array" ref="H78">- Return ONLY valid JSON.</f>
        <v>#NAME?</v>
      </c>
      <c r="I78" s="3" t="s">
        <v>189</v>
      </c>
      <c r="J78" s="3" t="s">
        <v>189</v>
      </c>
    </row>
    <row r="79" spans="2:10" x14ac:dyDescent="0.35">
      <c r="B79" s="10" t="s">
        <v>45</v>
      </c>
      <c r="H79" s="3" t="s">
        <v>120</v>
      </c>
      <c r="I79" s="3" t="s">
        <v>188</v>
      </c>
      <c r="J79" s="3" t="s">
        <v>188</v>
      </c>
    </row>
    <row r="80" spans="2:10" ht="58" x14ac:dyDescent="0.35">
      <c r="B80" s="10" t="s">
        <v>93</v>
      </c>
      <c r="H80" s="3" t="s">
        <v>121</v>
      </c>
      <c r="I80" s="3"/>
      <c r="J80" s="3"/>
    </row>
    <row r="81" spans="2:10" ht="58" x14ac:dyDescent="0.35">
      <c r="B81" s="10" t="s">
        <v>94</v>
      </c>
      <c r="H81" s="3" t="s">
        <v>122</v>
      </c>
      <c r="I81" s="3" t="s">
        <v>190</v>
      </c>
      <c r="J81" s="3" t="s">
        <v>190</v>
      </c>
    </row>
    <row r="82" spans="2:10" ht="43.5" x14ac:dyDescent="0.35">
      <c r="B82" s="10" t="s">
        <v>95</v>
      </c>
      <c r="H82" s="3" t="s">
        <v>123</v>
      </c>
      <c r="I82" s="3" t="s">
        <v>188</v>
      </c>
      <c r="J82" s="3" t="s">
        <v>188</v>
      </c>
    </row>
    <row r="83" spans="2:10" ht="58" x14ac:dyDescent="0.35">
      <c r="B83" s="10" t="s">
        <v>96</v>
      </c>
      <c r="I83" s="3"/>
      <c r="J83" s="3"/>
    </row>
    <row r="84" spans="2:10" ht="58" x14ac:dyDescent="0.35">
      <c r="B84" s="10" t="s">
        <v>97</v>
      </c>
      <c r="I84" s="3" t="s">
        <v>191</v>
      </c>
      <c r="J84" s="3" t="s">
        <v>191</v>
      </c>
    </row>
    <row r="85" spans="2:10" ht="58" x14ac:dyDescent="0.35">
      <c r="B85" s="10" t="s">
        <v>98</v>
      </c>
      <c r="I85" s="3" t="s">
        <v>188</v>
      </c>
      <c r="J85" s="3" t="s">
        <v>188</v>
      </c>
    </row>
    <row r="86" spans="2:10" x14ac:dyDescent="0.35">
      <c r="I86" s="3"/>
      <c r="J86" s="3"/>
    </row>
    <row r="87" spans="2:10" ht="43.5" x14ac:dyDescent="0.35">
      <c r="B87" s="12" t="s">
        <v>99</v>
      </c>
      <c r="I87" s="3" t="s">
        <v>192</v>
      </c>
      <c r="J87" s="3" t="s">
        <v>192</v>
      </c>
    </row>
    <row r="88" spans="2:10" ht="72.5" x14ac:dyDescent="0.35">
      <c r="B88" s="10" t="s">
        <v>100</v>
      </c>
      <c r="I88" s="3" t="s">
        <v>188</v>
      </c>
      <c r="J88" s="3" t="s">
        <v>188</v>
      </c>
    </row>
    <row r="89" spans="2:10" x14ac:dyDescent="0.35">
      <c r="I89" s="3"/>
      <c r="J89" s="3"/>
    </row>
    <row r="90" spans="2:10" ht="29" x14ac:dyDescent="0.35">
      <c r="B90" s="10" t="s">
        <v>45</v>
      </c>
      <c r="I90" s="3" t="s">
        <v>193</v>
      </c>
      <c r="J90" s="3" t="s">
        <v>193</v>
      </c>
    </row>
    <row r="91" spans="2:10" ht="58" x14ac:dyDescent="0.35">
      <c r="B91" s="10" t="s">
        <v>101</v>
      </c>
      <c r="I91" s="3" t="s">
        <v>188</v>
      </c>
      <c r="J91" s="3" t="s">
        <v>188</v>
      </c>
    </row>
    <row r="92" spans="2:10" ht="43.5" x14ac:dyDescent="0.35">
      <c r="B92" s="10" t="s">
        <v>102</v>
      </c>
      <c r="I92" s="3"/>
      <c r="J92" s="3"/>
    </row>
    <row r="93" spans="2:10" ht="43.5" x14ac:dyDescent="0.35">
      <c r="B93" s="10" t="s">
        <v>103</v>
      </c>
      <c r="I93" s="3" t="s">
        <v>194</v>
      </c>
      <c r="J93" s="3" t="s">
        <v>194</v>
      </c>
    </row>
    <row r="94" spans="2:10" ht="43.5" x14ac:dyDescent="0.35">
      <c r="B94" s="10" t="s">
        <v>104</v>
      </c>
      <c r="I94" s="3" t="s">
        <v>188</v>
      </c>
      <c r="J94" s="3" t="s">
        <v>188</v>
      </c>
    </row>
    <row r="95" spans="2:10" ht="43.5" x14ac:dyDescent="0.35">
      <c r="B95" s="10" t="s">
        <v>105</v>
      </c>
      <c r="I95" s="3"/>
      <c r="J95" s="3"/>
    </row>
    <row r="96" spans="2:10" ht="43.5" x14ac:dyDescent="0.35">
      <c r="B96" s="10" t="s">
        <v>106</v>
      </c>
      <c r="I96" s="3" t="s">
        <v>195</v>
      </c>
      <c r="J96" s="3" t="s">
        <v>195</v>
      </c>
    </row>
    <row r="97" spans="2:10" ht="58" x14ac:dyDescent="0.35">
      <c r="B97" s="10" t="s">
        <v>107</v>
      </c>
      <c r="I97" s="3" t="s">
        <v>188</v>
      </c>
      <c r="J97" s="3" t="s">
        <v>188</v>
      </c>
    </row>
    <row r="98" spans="2:10" x14ac:dyDescent="0.35">
      <c r="I98" s="3"/>
      <c r="J98" s="3"/>
    </row>
    <row r="99" spans="2:10" ht="43.5" x14ac:dyDescent="0.35">
      <c r="B99" s="12" t="s">
        <v>108</v>
      </c>
      <c r="I99" s="3" t="s">
        <v>196</v>
      </c>
      <c r="J99" s="3" t="s">
        <v>196</v>
      </c>
    </row>
    <row r="100" spans="2:10" ht="87" x14ac:dyDescent="0.35">
      <c r="B100" s="10" t="s">
        <v>109</v>
      </c>
      <c r="I100" s="3" t="s">
        <v>188</v>
      </c>
      <c r="J100" s="3" t="s">
        <v>188</v>
      </c>
    </row>
    <row r="101" spans="2:10" x14ac:dyDescent="0.35">
      <c r="I101" s="3"/>
      <c r="J101" s="3"/>
    </row>
    <row r="102" spans="2:10" ht="43.5" x14ac:dyDescent="0.35">
      <c r="B102" s="10" t="s">
        <v>45</v>
      </c>
      <c r="I102" s="3" t="s">
        <v>197</v>
      </c>
      <c r="J102" s="3" t="s">
        <v>197</v>
      </c>
    </row>
    <row r="103" spans="2:10" ht="43.5" x14ac:dyDescent="0.35">
      <c r="B103" s="10" t="s">
        <v>110</v>
      </c>
      <c r="I103" s="3" t="s">
        <v>188</v>
      </c>
      <c r="J103" s="3" t="s">
        <v>188</v>
      </c>
    </row>
    <row r="104" spans="2:10" ht="29" x14ac:dyDescent="0.35">
      <c r="B104" s="10" t="s">
        <v>111</v>
      </c>
      <c r="I104" s="3"/>
      <c r="J104" s="3"/>
    </row>
    <row r="105" spans="2:10" ht="43.5" x14ac:dyDescent="0.35">
      <c r="B105" s="10" t="s">
        <v>112</v>
      </c>
      <c r="I105" s="3" t="s">
        <v>198</v>
      </c>
      <c r="J105" s="3" t="s">
        <v>198</v>
      </c>
    </row>
    <row r="106" spans="2:10" ht="43.5" x14ac:dyDescent="0.35">
      <c r="B106" s="10" t="s">
        <v>113</v>
      </c>
      <c r="I106" s="3" t="s">
        <v>188</v>
      </c>
      <c r="J106" s="3" t="s">
        <v>188</v>
      </c>
    </row>
    <row r="107" spans="2:10" ht="29" x14ac:dyDescent="0.35">
      <c r="B107" s="10" t="s">
        <v>114</v>
      </c>
      <c r="I107" s="3"/>
      <c r="J107" s="3"/>
    </row>
    <row r="108" spans="2:10" ht="43.5" x14ac:dyDescent="0.35">
      <c r="B108" s="10" t="s">
        <v>115</v>
      </c>
      <c r="I108" s="3" t="s">
        <v>135</v>
      </c>
      <c r="J108" s="3" t="s">
        <v>135</v>
      </c>
    </row>
    <row r="109" spans="2:10" ht="43.5" x14ac:dyDescent="0.35">
      <c r="B109" s="10" t="s">
        <v>116</v>
      </c>
      <c r="I109" s="3"/>
      <c r="J109" s="3"/>
    </row>
    <row r="110" spans="2:10" x14ac:dyDescent="0.35">
      <c r="I110" s="3" t="s">
        <v>119</v>
      </c>
      <c r="J110" s="3" t="s">
        <v>119</v>
      </c>
    </row>
    <row r="111" spans="2:10" x14ac:dyDescent="0.35">
      <c r="B111" s="12" t="s">
        <v>117</v>
      </c>
      <c r="I111" s="14" t="s">
        <v>124</v>
      </c>
      <c r="J111" s="14" t="s">
        <v>124</v>
      </c>
    </row>
    <row r="112" spans="2:10" ht="43.5" x14ac:dyDescent="0.35">
      <c r="B112" s="10" t="s">
        <v>118</v>
      </c>
      <c r="I112" s="3" t="s">
        <v>120</v>
      </c>
      <c r="J112" s="3" t="s">
        <v>120</v>
      </c>
    </row>
    <row r="113" spans="2:10" ht="29" x14ac:dyDescent="0.35">
      <c r="I113" s="3" t="s">
        <v>121</v>
      </c>
      <c r="J113" s="3" t="s">
        <v>121</v>
      </c>
    </row>
    <row r="114" spans="2:10" ht="43.5" x14ac:dyDescent="0.35">
      <c r="B114" s="10" t="s">
        <v>41</v>
      </c>
      <c r="I114" s="3" t="s">
        <v>122</v>
      </c>
      <c r="J114" s="3" t="s">
        <v>122</v>
      </c>
    </row>
    <row r="115" spans="2:10" ht="43.5" x14ac:dyDescent="0.35">
      <c r="I115" s="3" t="s">
        <v>123</v>
      </c>
      <c r="J115" s="3" t="s">
        <v>123</v>
      </c>
    </row>
    <row r="116" spans="2:10" x14ac:dyDescent="0.35">
      <c r="B116" s="11" t="s">
        <v>119</v>
      </c>
    </row>
    <row r="117" spans="2:10" x14ac:dyDescent="0.35">
      <c r="B117" s="13" t="s">
        <v>124</v>
      </c>
    </row>
    <row r="118" spans="2:10" x14ac:dyDescent="0.35">
      <c r="B118" s="10" t="s">
        <v>120</v>
      </c>
    </row>
    <row r="119" spans="2:10" ht="29" x14ac:dyDescent="0.35">
      <c r="B119" s="10" t="s">
        <v>121</v>
      </c>
    </row>
    <row r="120" spans="2:10" ht="43.5" x14ac:dyDescent="0.35">
      <c r="B120" s="10" t="s">
        <v>122</v>
      </c>
    </row>
    <row r="121" spans="2:10" ht="29" x14ac:dyDescent="0.35">
      <c r="B121" s="10" t="s">
        <v>123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307D-EB77-4CDE-A752-6511B55DD7C3}">
  <dimension ref="A1:M12"/>
  <sheetViews>
    <sheetView workbookViewId="0">
      <selection activeCell="G34" sqref="G34"/>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0.79015000000000002</v>
      </c>
      <c r="C2" s="9">
        <v>0.80135999999999996</v>
      </c>
      <c r="D2" s="9">
        <v>0.63136000000000003</v>
      </c>
      <c r="E2" s="9">
        <v>0.79571000000000003</v>
      </c>
      <c r="F2" s="6">
        <v>1607</v>
      </c>
      <c r="G2" s="7"/>
      <c r="H2" s="7"/>
      <c r="I2" s="7"/>
      <c r="J2" s="7"/>
      <c r="K2" s="9">
        <v>0.78966999999999998</v>
      </c>
      <c r="L2" s="6">
        <v>1</v>
      </c>
      <c r="M2" s="6">
        <v>6.2E-4</v>
      </c>
    </row>
    <row r="3" spans="1:13" x14ac:dyDescent="0.35">
      <c r="A3" s="8">
        <v>0</v>
      </c>
      <c r="B3" s="9">
        <v>0.21934999999999999</v>
      </c>
      <c r="C3" s="9">
        <v>0.89473999999999998</v>
      </c>
      <c r="D3" s="9">
        <v>0.35232999999999998</v>
      </c>
      <c r="E3" s="9"/>
      <c r="F3" s="6">
        <v>38</v>
      </c>
      <c r="G3" s="6">
        <v>34</v>
      </c>
      <c r="H3" s="6">
        <v>121</v>
      </c>
      <c r="I3" s="6">
        <v>4</v>
      </c>
    </row>
    <row r="4" spans="1:13" x14ac:dyDescent="0.35">
      <c r="A4" s="8">
        <v>1</v>
      </c>
      <c r="B4" s="9">
        <v>0.64583000000000002</v>
      </c>
      <c r="C4" s="9">
        <v>0.81579000000000002</v>
      </c>
      <c r="D4" s="9">
        <v>0.72092999999999996</v>
      </c>
      <c r="E4" s="9"/>
      <c r="F4" s="6">
        <v>38</v>
      </c>
      <c r="G4" s="6">
        <v>31</v>
      </c>
      <c r="H4" s="6">
        <v>17</v>
      </c>
      <c r="I4" s="6">
        <v>7</v>
      </c>
    </row>
    <row r="5" spans="1:13" x14ac:dyDescent="0.35">
      <c r="A5" s="8">
        <v>2</v>
      </c>
      <c r="B5" s="9">
        <v>0.41892000000000001</v>
      </c>
      <c r="C5" s="9">
        <v>0.81579000000000002</v>
      </c>
      <c r="D5" s="9">
        <v>0.55357000000000001</v>
      </c>
      <c r="E5" s="9"/>
      <c r="F5" s="6">
        <v>38</v>
      </c>
      <c r="G5" s="6">
        <v>31</v>
      </c>
      <c r="H5" s="6">
        <v>43</v>
      </c>
      <c r="I5" s="6">
        <v>7</v>
      </c>
    </row>
    <row r="6" spans="1:13" x14ac:dyDescent="0.35">
      <c r="A6" s="8">
        <v>3</v>
      </c>
      <c r="B6" s="9">
        <v>0.52</v>
      </c>
      <c r="C6" s="9">
        <v>1</v>
      </c>
      <c r="D6" s="9">
        <v>0.68420999999999998</v>
      </c>
      <c r="E6" s="9"/>
      <c r="F6" s="6">
        <v>13</v>
      </c>
      <c r="G6" s="6">
        <v>13</v>
      </c>
      <c r="H6" s="6">
        <v>12</v>
      </c>
      <c r="I6" s="6">
        <v>0</v>
      </c>
    </row>
    <row r="7" spans="1:13" x14ac:dyDescent="0.35">
      <c r="A7" s="8">
        <v>4</v>
      </c>
      <c r="B7" s="9">
        <v>0.48936000000000002</v>
      </c>
      <c r="C7" s="9">
        <v>1</v>
      </c>
      <c r="D7" s="9">
        <v>0.65713999999999995</v>
      </c>
      <c r="E7" s="9"/>
      <c r="F7" s="6">
        <v>23</v>
      </c>
      <c r="G7" s="6">
        <v>23</v>
      </c>
      <c r="H7" s="6">
        <v>24</v>
      </c>
      <c r="I7" s="6">
        <v>0</v>
      </c>
    </row>
    <row r="8" spans="1:13" x14ac:dyDescent="0.35">
      <c r="A8" s="8">
        <v>5</v>
      </c>
      <c r="B8" s="9">
        <v>0.8</v>
      </c>
      <c r="C8" s="9">
        <v>0.92308000000000001</v>
      </c>
      <c r="D8" s="9">
        <v>0.85714000000000001</v>
      </c>
      <c r="E8" s="9"/>
      <c r="F8" s="6">
        <v>13</v>
      </c>
      <c r="G8" s="6">
        <v>12</v>
      </c>
      <c r="H8" s="6">
        <v>3</v>
      </c>
      <c r="I8" s="6">
        <v>1</v>
      </c>
    </row>
    <row r="9" spans="1:13" x14ac:dyDescent="0.35">
      <c r="A9" s="8">
        <v>6</v>
      </c>
      <c r="B9" s="9">
        <v>0.76190000000000002</v>
      </c>
      <c r="C9" s="9">
        <v>1</v>
      </c>
      <c r="D9" s="9">
        <v>0.86485999999999996</v>
      </c>
      <c r="E9" s="9"/>
      <c r="F9" s="6">
        <v>16</v>
      </c>
      <c r="G9" s="6">
        <v>16</v>
      </c>
      <c r="H9" s="6">
        <v>5</v>
      </c>
      <c r="I9" s="6">
        <v>0</v>
      </c>
    </row>
    <row r="10" spans="1:13" x14ac:dyDescent="0.35">
      <c r="A10" s="8">
        <v>7</v>
      </c>
      <c r="B10" s="9">
        <v>6.0339999999999998E-2</v>
      </c>
      <c r="C10" s="9">
        <v>1</v>
      </c>
      <c r="D10" s="9">
        <v>0.11382</v>
      </c>
      <c r="E10" s="9"/>
      <c r="F10" s="6">
        <v>7</v>
      </c>
      <c r="G10" s="6">
        <v>7</v>
      </c>
      <c r="H10" s="6">
        <v>109</v>
      </c>
      <c r="I10" s="6">
        <v>0</v>
      </c>
    </row>
    <row r="11" spans="1:13" x14ac:dyDescent="0.35">
      <c r="A11" s="8">
        <v>8</v>
      </c>
      <c r="B11" s="9">
        <v>0.99038000000000004</v>
      </c>
      <c r="C11" s="9">
        <v>0.78885000000000005</v>
      </c>
      <c r="D11" s="9">
        <v>0.87819999999999998</v>
      </c>
      <c r="E11" s="9"/>
      <c r="F11" s="6">
        <v>1435</v>
      </c>
      <c r="G11" s="6">
        <v>1132</v>
      </c>
      <c r="H11" s="6">
        <v>11</v>
      </c>
      <c r="I11" s="6">
        <v>303</v>
      </c>
    </row>
    <row r="12" spans="1:13" x14ac:dyDescent="0.35">
      <c r="A12" s="4" t="s">
        <v>16</v>
      </c>
      <c r="B12" s="9">
        <v>0.34772999999999998</v>
      </c>
      <c r="C12" s="9">
        <v>0.93605000000000005</v>
      </c>
      <c r="D12" s="9">
        <v>0.50709000000000004</v>
      </c>
      <c r="E12" s="9"/>
      <c r="G12" s="6">
        <v>161</v>
      </c>
      <c r="H12" s="6">
        <v>302</v>
      </c>
      <c r="I12" s="6">
        <v>11</v>
      </c>
      <c r="J12" s="6">
        <v>1133</v>
      </c>
      <c r="K12" s="9">
        <v>0.80523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74132-38BE-48E8-ACEF-71A967339809}">
  <dimension ref="A1:M12"/>
  <sheetViews>
    <sheetView workbookViewId="0">
      <selection activeCell="E37" sqref="E37"/>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0.68127000000000004</v>
      </c>
      <c r="C2" s="9">
        <v>0.70018999999999998</v>
      </c>
      <c r="D2" s="9">
        <v>0.44107000000000002</v>
      </c>
      <c r="E2" s="9">
        <v>0.69059999999999999</v>
      </c>
      <c r="F2" s="6">
        <v>1607</v>
      </c>
      <c r="G2" s="7"/>
      <c r="H2" s="7"/>
      <c r="I2" s="7"/>
      <c r="J2" s="7"/>
      <c r="K2" s="9">
        <v>0.68574999999999997</v>
      </c>
      <c r="L2" s="6">
        <v>0</v>
      </c>
      <c r="M2" s="6">
        <v>0</v>
      </c>
    </row>
    <row r="3" spans="1:13" x14ac:dyDescent="0.35">
      <c r="A3" s="8">
        <v>0</v>
      </c>
      <c r="B3" s="9">
        <v>0.19792000000000001</v>
      </c>
      <c r="C3" s="9">
        <v>1</v>
      </c>
      <c r="D3" s="9">
        <v>0.33043</v>
      </c>
      <c r="E3" s="9"/>
      <c r="F3" s="6">
        <v>38</v>
      </c>
      <c r="G3" s="6">
        <v>38</v>
      </c>
      <c r="H3" s="6">
        <v>154</v>
      </c>
      <c r="I3" s="6">
        <v>0</v>
      </c>
    </row>
    <row r="4" spans="1:13" x14ac:dyDescent="0.35">
      <c r="A4" s="8">
        <v>1</v>
      </c>
      <c r="B4" s="9">
        <v>0.41332999999999998</v>
      </c>
      <c r="C4" s="9">
        <v>0.81579000000000002</v>
      </c>
      <c r="D4" s="9">
        <v>0.54866999999999999</v>
      </c>
      <c r="E4" s="9"/>
      <c r="F4" s="6">
        <v>38</v>
      </c>
      <c r="G4" s="6">
        <v>31</v>
      </c>
      <c r="H4" s="6">
        <v>44</v>
      </c>
      <c r="I4" s="6">
        <v>7</v>
      </c>
    </row>
    <row r="5" spans="1:13" x14ac:dyDescent="0.35">
      <c r="A5" s="8">
        <v>2</v>
      </c>
      <c r="B5" s="9">
        <v>0.27357999999999999</v>
      </c>
      <c r="C5" s="9">
        <v>0.76315999999999995</v>
      </c>
      <c r="D5" s="9">
        <v>0.40278000000000003</v>
      </c>
      <c r="E5" s="9"/>
      <c r="F5" s="6">
        <v>38</v>
      </c>
      <c r="G5" s="6">
        <v>29</v>
      </c>
      <c r="H5" s="6">
        <v>77</v>
      </c>
      <c r="I5" s="6">
        <v>9</v>
      </c>
    </row>
    <row r="6" spans="1:13" x14ac:dyDescent="0.35">
      <c r="A6" s="8">
        <v>3</v>
      </c>
      <c r="B6" s="9">
        <v>0.25490000000000002</v>
      </c>
      <c r="C6" s="9">
        <v>1</v>
      </c>
      <c r="D6" s="9">
        <v>0.40625</v>
      </c>
      <c r="E6" s="9"/>
      <c r="F6" s="6">
        <v>13</v>
      </c>
      <c r="G6" s="6">
        <v>13</v>
      </c>
      <c r="H6" s="6">
        <v>38</v>
      </c>
      <c r="I6" s="6">
        <v>0</v>
      </c>
    </row>
    <row r="7" spans="1:13" x14ac:dyDescent="0.35">
      <c r="A7" s="8">
        <v>4</v>
      </c>
      <c r="B7" s="9">
        <v>0.21622</v>
      </c>
      <c r="C7" s="9">
        <v>0.69564999999999999</v>
      </c>
      <c r="D7" s="9">
        <v>0.32990000000000003</v>
      </c>
      <c r="E7" s="9"/>
      <c r="F7" s="6">
        <v>23</v>
      </c>
      <c r="G7" s="6">
        <v>16</v>
      </c>
      <c r="H7" s="6">
        <v>58</v>
      </c>
      <c r="I7" s="6">
        <v>7</v>
      </c>
    </row>
    <row r="8" spans="1:13" x14ac:dyDescent="0.35">
      <c r="A8" s="8">
        <v>5</v>
      </c>
      <c r="B8" s="9">
        <v>0.28260999999999997</v>
      </c>
      <c r="C8" s="9">
        <v>1</v>
      </c>
      <c r="D8" s="9">
        <v>0.44068000000000002</v>
      </c>
      <c r="E8" s="9"/>
      <c r="F8" s="6">
        <v>13</v>
      </c>
      <c r="G8" s="6">
        <v>13</v>
      </c>
      <c r="H8" s="6">
        <v>33</v>
      </c>
      <c r="I8" s="6">
        <v>0</v>
      </c>
    </row>
    <row r="9" spans="1:13" x14ac:dyDescent="0.35">
      <c r="A9" s="8">
        <v>6</v>
      </c>
      <c r="B9" s="9">
        <v>0.41026000000000001</v>
      </c>
      <c r="C9" s="9">
        <v>1</v>
      </c>
      <c r="D9" s="9">
        <v>0.58182</v>
      </c>
      <c r="E9" s="9"/>
      <c r="F9" s="6">
        <v>16</v>
      </c>
      <c r="G9" s="6">
        <v>16</v>
      </c>
      <c r="H9" s="6">
        <v>23</v>
      </c>
      <c r="I9" s="6">
        <v>0</v>
      </c>
    </row>
    <row r="10" spans="1:13" x14ac:dyDescent="0.35">
      <c r="A10" s="8">
        <v>7</v>
      </c>
      <c r="B10" s="9">
        <v>6.5420000000000006E-2</v>
      </c>
      <c r="C10" s="9">
        <v>1</v>
      </c>
      <c r="D10" s="9">
        <v>0.12281</v>
      </c>
      <c r="E10" s="9"/>
      <c r="F10" s="6">
        <v>7</v>
      </c>
      <c r="G10" s="6">
        <v>7</v>
      </c>
      <c r="H10" s="6">
        <v>100</v>
      </c>
      <c r="I10" s="6">
        <v>0</v>
      </c>
    </row>
    <row r="11" spans="1:13" x14ac:dyDescent="0.35">
      <c r="A11" s="8">
        <v>8</v>
      </c>
      <c r="B11" s="9">
        <v>0.99590000000000001</v>
      </c>
      <c r="C11" s="9">
        <v>0.67735000000000001</v>
      </c>
      <c r="D11" s="9">
        <v>0.80630000000000002</v>
      </c>
      <c r="E11" s="9"/>
      <c r="F11" s="6">
        <v>1435</v>
      </c>
      <c r="G11" s="6">
        <v>972</v>
      </c>
      <c r="H11" s="6">
        <v>4</v>
      </c>
      <c r="I11" s="6">
        <v>463</v>
      </c>
    </row>
    <row r="12" spans="1:13" x14ac:dyDescent="0.35">
      <c r="A12" s="4" t="s">
        <v>16</v>
      </c>
      <c r="B12" s="9">
        <v>0.26623999999999998</v>
      </c>
      <c r="C12" s="9">
        <v>0.97674000000000005</v>
      </c>
      <c r="D12" s="9">
        <v>0.41843000000000002</v>
      </c>
      <c r="E12" s="9"/>
      <c r="G12" s="6">
        <v>168</v>
      </c>
      <c r="H12" s="6">
        <v>463</v>
      </c>
      <c r="I12" s="6">
        <v>4</v>
      </c>
      <c r="J12" s="6">
        <v>972</v>
      </c>
      <c r="K12" s="9">
        <v>0.70940000000000003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AEC4-E64D-47CB-9783-D56346E717D1}">
  <dimension ref="A1:M12"/>
  <sheetViews>
    <sheetView workbookViewId="0">
      <selection activeCell="E38" sqref="E38"/>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0.77171000000000001</v>
      </c>
      <c r="C2" s="9">
        <v>0.78408</v>
      </c>
      <c r="D2" s="9">
        <v>0.57518000000000002</v>
      </c>
      <c r="E2" s="9">
        <v>0.77785000000000004</v>
      </c>
      <c r="F2" s="6">
        <v>1607</v>
      </c>
      <c r="G2" s="7"/>
      <c r="H2" s="7"/>
      <c r="I2" s="7"/>
      <c r="J2" s="7"/>
      <c r="K2" s="9">
        <v>0.76851000000000003</v>
      </c>
      <c r="L2" s="6">
        <v>24</v>
      </c>
      <c r="M2" s="6">
        <v>1.4930000000000001E-2</v>
      </c>
    </row>
    <row r="3" spans="1:13" x14ac:dyDescent="0.35">
      <c r="A3" s="8">
        <v>0</v>
      </c>
      <c r="B3" s="9">
        <v>0.18229000000000001</v>
      </c>
      <c r="C3" s="9">
        <v>0.92105000000000004</v>
      </c>
      <c r="D3" s="9">
        <v>0.30435000000000001</v>
      </c>
      <c r="E3" s="9"/>
      <c r="F3" s="6">
        <v>38</v>
      </c>
      <c r="G3" s="6">
        <v>35</v>
      </c>
      <c r="H3" s="6">
        <v>157</v>
      </c>
      <c r="I3" s="6">
        <v>3</v>
      </c>
    </row>
    <row r="4" spans="1:13" x14ac:dyDescent="0.35">
      <c r="A4" s="8">
        <v>1</v>
      </c>
      <c r="B4" s="9">
        <v>0.64285999999999999</v>
      </c>
      <c r="C4" s="9">
        <v>0.71052999999999999</v>
      </c>
      <c r="D4" s="9">
        <v>0.67500000000000004</v>
      </c>
      <c r="E4" s="9"/>
      <c r="F4" s="6">
        <v>38</v>
      </c>
      <c r="G4" s="6">
        <v>27</v>
      </c>
      <c r="H4" s="6">
        <v>15</v>
      </c>
      <c r="I4" s="6">
        <v>11</v>
      </c>
    </row>
    <row r="5" spans="1:13" x14ac:dyDescent="0.35">
      <c r="A5" s="8">
        <v>2</v>
      </c>
      <c r="B5" s="9">
        <v>0.37363000000000002</v>
      </c>
      <c r="C5" s="9">
        <v>0.89473999999999998</v>
      </c>
      <c r="D5" s="9">
        <v>0.52712999999999999</v>
      </c>
      <c r="E5" s="9"/>
      <c r="F5" s="6">
        <v>38</v>
      </c>
      <c r="G5" s="6">
        <v>34</v>
      </c>
      <c r="H5" s="6">
        <v>57</v>
      </c>
      <c r="I5" s="6">
        <v>4</v>
      </c>
    </row>
    <row r="6" spans="1:13" x14ac:dyDescent="0.35">
      <c r="A6" s="8">
        <v>3</v>
      </c>
      <c r="B6" s="9">
        <v>0.33333000000000002</v>
      </c>
      <c r="C6" s="9">
        <v>0.92308000000000001</v>
      </c>
      <c r="D6" s="9">
        <v>0.48980000000000001</v>
      </c>
      <c r="E6" s="9"/>
      <c r="F6" s="6">
        <v>13</v>
      </c>
      <c r="G6" s="6">
        <v>12</v>
      </c>
      <c r="H6" s="6">
        <v>24</v>
      </c>
      <c r="I6" s="6">
        <v>1</v>
      </c>
    </row>
    <row r="7" spans="1:13" x14ac:dyDescent="0.35">
      <c r="A7" s="8">
        <v>4</v>
      </c>
      <c r="B7" s="9">
        <v>0.48780000000000001</v>
      </c>
      <c r="C7" s="9">
        <v>0.86956999999999995</v>
      </c>
      <c r="D7" s="9">
        <v>0.625</v>
      </c>
      <c r="E7" s="9"/>
      <c r="F7" s="6">
        <v>23</v>
      </c>
      <c r="G7" s="6">
        <v>20</v>
      </c>
      <c r="H7" s="6">
        <v>21</v>
      </c>
      <c r="I7" s="6">
        <v>3</v>
      </c>
    </row>
    <row r="8" spans="1:13" x14ac:dyDescent="0.35">
      <c r="A8" s="8">
        <v>5</v>
      </c>
      <c r="B8" s="9">
        <v>0.66666999999999998</v>
      </c>
      <c r="C8" s="9">
        <v>0.92308000000000001</v>
      </c>
      <c r="D8" s="9">
        <v>0.77419000000000004</v>
      </c>
      <c r="E8" s="9"/>
      <c r="F8" s="6">
        <v>13</v>
      </c>
      <c r="G8" s="6">
        <v>12</v>
      </c>
      <c r="H8" s="6">
        <v>6</v>
      </c>
      <c r="I8" s="6">
        <v>1</v>
      </c>
    </row>
    <row r="9" spans="1:13" x14ac:dyDescent="0.35">
      <c r="A9" s="8">
        <v>6</v>
      </c>
      <c r="B9" s="9">
        <v>0.625</v>
      </c>
      <c r="C9" s="9">
        <v>0.9375</v>
      </c>
      <c r="D9" s="9">
        <v>0.75</v>
      </c>
      <c r="E9" s="9"/>
      <c r="F9" s="6">
        <v>16</v>
      </c>
      <c r="G9" s="6">
        <v>15</v>
      </c>
      <c r="H9" s="6">
        <v>9</v>
      </c>
      <c r="I9" s="6">
        <v>1</v>
      </c>
    </row>
    <row r="10" spans="1:13" x14ac:dyDescent="0.35">
      <c r="A10" s="8">
        <v>7</v>
      </c>
      <c r="B10" s="9">
        <v>8.974E-2</v>
      </c>
      <c r="C10" s="9">
        <v>1</v>
      </c>
      <c r="D10" s="9">
        <v>0.16471</v>
      </c>
      <c r="E10" s="9"/>
      <c r="F10" s="6">
        <v>7</v>
      </c>
      <c r="G10" s="6">
        <v>7</v>
      </c>
      <c r="H10" s="6">
        <v>71</v>
      </c>
      <c r="I10" s="6">
        <v>0</v>
      </c>
    </row>
    <row r="11" spans="1:13" x14ac:dyDescent="0.35">
      <c r="A11" s="8">
        <v>8</v>
      </c>
      <c r="B11" s="9">
        <v>0.98577999999999999</v>
      </c>
      <c r="C11" s="9">
        <v>0.77281999999999995</v>
      </c>
      <c r="D11" s="9">
        <v>0.86641000000000001</v>
      </c>
      <c r="E11" s="9"/>
      <c r="F11" s="6">
        <v>1435</v>
      </c>
      <c r="G11" s="6">
        <v>1109</v>
      </c>
      <c r="H11" s="6">
        <v>16</v>
      </c>
      <c r="I11" s="6">
        <v>326</v>
      </c>
    </row>
    <row r="12" spans="1:13" x14ac:dyDescent="0.35">
      <c r="A12" s="4" t="s">
        <v>16</v>
      </c>
      <c r="B12" s="9">
        <v>0.33987000000000001</v>
      </c>
      <c r="C12" s="9">
        <v>0.90698000000000001</v>
      </c>
      <c r="D12" s="9">
        <v>0.49445</v>
      </c>
      <c r="E12" s="9"/>
      <c r="G12" s="6">
        <v>156</v>
      </c>
      <c r="H12" s="6">
        <v>303</v>
      </c>
      <c r="I12" s="6">
        <v>16</v>
      </c>
      <c r="J12" s="6">
        <v>1132</v>
      </c>
      <c r="K12" s="9">
        <v>0.80149000000000004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81E2C-CF98-4662-A1FE-6F9A6D2B5347}">
  <dimension ref="A1:M12"/>
  <sheetViews>
    <sheetView workbookViewId="0">
      <selection activeCell="L45" sqref="L45"/>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0.90698000000000001</v>
      </c>
      <c r="C2" s="9">
        <v>0.91425000000000001</v>
      </c>
      <c r="D2" s="9">
        <v>0.71753</v>
      </c>
      <c r="E2" s="9">
        <v>0.91059999999999997</v>
      </c>
      <c r="F2" s="6">
        <v>1607</v>
      </c>
      <c r="G2" s="7"/>
      <c r="H2" s="7"/>
      <c r="I2" s="7"/>
      <c r="J2" s="7"/>
      <c r="K2" s="9">
        <v>0.90666000000000002</v>
      </c>
      <c r="L2" s="6">
        <v>0</v>
      </c>
      <c r="M2" s="6">
        <v>0</v>
      </c>
    </row>
    <row r="3" spans="1:13" x14ac:dyDescent="0.35">
      <c r="A3" s="8">
        <v>0</v>
      </c>
      <c r="B3" s="9">
        <v>0.44928000000000001</v>
      </c>
      <c r="C3" s="9">
        <v>0.81579000000000002</v>
      </c>
      <c r="D3" s="9">
        <v>0.57943999999999996</v>
      </c>
      <c r="E3" s="9"/>
      <c r="F3" s="6">
        <v>38</v>
      </c>
      <c r="G3" s="6">
        <v>31</v>
      </c>
      <c r="H3" s="6">
        <v>38</v>
      </c>
      <c r="I3" s="6">
        <v>7</v>
      </c>
    </row>
    <row r="4" spans="1:13" x14ac:dyDescent="0.35">
      <c r="A4" s="8">
        <v>1</v>
      </c>
      <c r="B4" s="9">
        <v>0.61111000000000004</v>
      </c>
      <c r="C4" s="9">
        <v>0.86841999999999997</v>
      </c>
      <c r="D4" s="9">
        <v>0.71738999999999997</v>
      </c>
      <c r="E4" s="9"/>
      <c r="F4" s="6">
        <v>38</v>
      </c>
      <c r="G4" s="6">
        <v>33</v>
      </c>
      <c r="H4" s="6">
        <v>21</v>
      </c>
      <c r="I4" s="6">
        <v>5</v>
      </c>
    </row>
    <row r="5" spans="1:13" x14ac:dyDescent="0.35">
      <c r="A5" s="8">
        <v>2</v>
      </c>
      <c r="B5" s="9">
        <v>0.5</v>
      </c>
      <c r="C5" s="9">
        <v>0.86841999999999997</v>
      </c>
      <c r="D5" s="9">
        <v>0.63461999999999996</v>
      </c>
      <c r="E5" s="9"/>
      <c r="F5" s="6">
        <v>38</v>
      </c>
      <c r="G5" s="6">
        <v>33</v>
      </c>
      <c r="H5" s="6">
        <v>33</v>
      </c>
      <c r="I5" s="6">
        <v>5</v>
      </c>
    </row>
    <row r="6" spans="1:13" x14ac:dyDescent="0.35">
      <c r="A6" s="8">
        <v>3</v>
      </c>
      <c r="B6" s="9">
        <v>0.59091000000000005</v>
      </c>
      <c r="C6" s="9">
        <v>1</v>
      </c>
      <c r="D6" s="9">
        <v>0.74285999999999996</v>
      </c>
      <c r="E6" s="9"/>
      <c r="F6" s="6">
        <v>13</v>
      </c>
      <c r="G6" s="6">
        <v>13</v>
      </c>
      <c r="H6" s="6">
        <v>9</v>
      </c>
      <c r="I6" s="6">
        <v>0</v>
      </c>
    </row>
    <row r="7" spans="1:13" x14ac:dyDescent="0.35">
      <c r="A7" s="8">
        <v>4</v>
      </c>
      <c r="B7" s="9">
        <v>0.56757000000000002</v>
      </c>
      <c r="C7" s="9">
        <v>0.91303999999999996</v>
      </c>
      <c r="D7" s="9">
        <v>0.7</v>
      </c>
      <c r="E7" s="9"/>
      <c r="F7" s="6">
        <v>23</v>
      </c>
      <c r="G7" s="6">
        <v>21</v>
      </c>
      <c r="H7" s="6">
        <v>16</v>
      </c>
      <c r="I7" s="6">
        <v>2</v>
      </c>
    </row>
    <row r="8" spans="1:13" x14ac:dyDescent="0.35">
      <c r="A8" s="8">
        <v>5</v>
      </c>
      <c r="B8" s="9">
        <v>0.84614999999999996</v>
      </c>
      <c r="C8" s="9">
        <v>0.84614999999999996</v>
      </c>
      <c r="D8" s="9">
        <v>0.84614999999999996</v>
      </c>
      <c r="E8" s="9"/>
      <c r="F8" s="6">
        <v>13</v>
      </c>
      <c r="G8" s="6">
        <v>11</v>
      </c>
      <c r="H8" s="6">
        <v>2</v>
      </c>
      <c r="I8" s="6">
        <v>2</v>
      </c>
    </row>
    <row r="9" spans="1:13" x14ac:dyDescent="0.35">
      <c r="A9" s="8">
        <v>6</v>
      </c>
      <c r="B9" s="9">
        <v>0.84211000000000003</v>
      </c>
      <c r="C9" s="9">
        <v>1</v>
      </c>
      <c r="D9" s="9">
        <v>0.91429000000000005</v>
      </c>
      <c r="E9" s="9"/>
      <c r="F9" s="6">
        <v>16</v>
      </c>
      <c r="G9" s="6">
        <v>16</v>
      </c>
      <c r="H9" s="6">
        <v>3</v>
      </c>
      <c r="I9" s="6">
        <v>0</v>
      </c>
    </row>
    <row r="10" spans="1:13" x14ac:dyDescent="0.35">
      <c r="A10" s="8">
        <v>7</v>
      </c>
      <c r="B10" s="9">
        <v>0.25</v>
      </c>
      <c r="C10" s="9">
        <v>0.71428999999999998</v>
      </c>
      <c r="D10" s="9">
        <v>0.37036999999999998</v>
      </c>
      <c r="E10" s="9"/>
      <c r="F10" s="6">
        <v>7</v>
      </c>
      <c r="G10" s="6">
        <v>5</v>
      </c>
      <c r="H10" s="6">
        <v>15</v>
      </c>
      <c r="I10" s="6">
        <v>2</v>
      </c>
    </row>
    <row r="11" spans="1:13" x14ac:dyDescent="0.35">
      <c r="A11" s="8">
        <v>8</v>
      </c>
      <c r="B11" s="9">
        <v>0.98875999999999997</v>
      </c>
      <c r="C11" s="9">
        <v>0.91915999999999998</v>
      </c>
      <c r="D11" s="9">
        <v>0.95269000000000004</v>
      </c>
      <c r="E11" s="9"/>
      <c r="F11" s="6">
        <v>1435</v>
      </c>
      <c r="G11" s="6">
        <v>1319</v>
      </c>
      <c r="H11" s="6">
        <v>15</v>
      </c>
      <c r="I11" s="6">
        <v>116</v>
      </c>
    </row>
    <row r="12" spans="1:13" x14ac:dyDescent="0.35">
      <c r="A12" s="4" t="s">
        <v>16</v>
      </c>
      <c r="B12" s="9">
        <v>0.57508999999999999</v>
      </c>
      <c r="C12" s="9">
        <v>0.91278999999999999</v>
      </c>
      <c r="D12" s="9">
        <v>0.70562000000000002</v>
      </c>
      <c r="E12" s="9"/>
      <c r="G12" s="6">
        <v>157</v>
      </c>
      <c r="H12" s="6">
        <v>116</v>
      </c>
      <c r="I12" s="6">
        <v>15</v>
      </c>
      <c r="J12" s="6">
        <v>1319</v>
      </c>
      <c r="K12" s="9">
        <v>0.91847999999999996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25762-2919-4DA8-A391-BA7DA6308D2F}">
  <dimension ref="A1:M12"/>
  <sheetViews>
    <sheetView workbookViewId="0">
      <selection activeCell="M19" sqref="M19"/>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0.87805</v>
      </c>
      <c r="C2" s="9">
        <v>0.86612999999999996</v>
      </c>
      <c r="D2" s="9">
        <v>0.67820000000000003</v>
      </c>
      <c r="E2" s="9">
        <v>0.87204999999999999</v>
      </c>
      <c r="F2" s="6">
        <v>1607</v>
      </c>
      <c r="G2" s="7"/>
      <c r="H2" s="7"/>
      <c r="I2" s="7"/>
      <c r="J2" s="7"/>
      <c r="K2" s="9">
        <v>0.85811999999999999</v>
      </c>
      <c r="L2" s="6">
        <v>33</v>
      </c>
      <c r="M2" s="6">
        <v>2.0539999999999999E-2</v>
      </c>
    </row>
    <row r="3" spans="1:13" x14ac:dyDescent="0.35">
      <c r="A3" s="8">
        <v>0</v>
      </c>
      <c r="B3" s="9">
        <v>0.42499999999999999</v>
      </c>
      <c r="C3" s="9">
        <v>0.89473999999999998</v>
      </c>
      <c r="D3" s="9">
        <v>0.57626999999999995</v>
      </c>
      <c r="E3" s="9"/>
      <c r="F3" s="6">
        <v>38</v>
      </c>
      <c r="G3" s="6">
        <v>34</v>
      </c>
      <c r="H3" s="6">
        <v>46</v>
      </c>
      <c r="I3" s="6">
        <v>4</v>
      </c>
    </row>
    <row r="4" spans="1:13" x14ac:dyDescent="0.35">
      <c r="A4" s="8">
        <v>1</v>
      </c>
      <c r="B4" s="9">
        <v>0.58333000000000002</v>
      </c>
      <c r="C4" s="9">
        <v>0.73684000000000005</v>
      </c>
      <c r="D4" s="9">
        <v>0.65115999999999996</v>
      </c>
      <c r="E4" s="9"/>
      <c r="F4" s="6">
        <v>38</v>
      </c>
      <c r="G4" s="6">
        <v>28</v>
      </c>
      <c r="H4" s="6">
        <v>20</v>
      </c>
      <c r="I4" s="6">
        <v>10</v>
      </c>
    </row>
    <row r="5" spans="1:13" x14ac:dyDescent="0.35">
      <c r="A5" s="8">
        <v>2</v>
      </c>
      <c r="B5" s="9">
        <v>0.45833000000000002</v>
      </c>
      <c r="C5" s="9">
        <v>0.86841999999999997</v>
      </c>
      <c r="D5" s="9">
        <v>0.6</v>
      </c>
      <c r="E5" s="9"/>
      <c r="F5" s="6">
        <v>38</v>
      </c>
      <c r="G5" s="6">
        <v>33</v>
      </c>
      <c r="H5" s="6">
        <v>39</v>
      </c>
      <c r="I5" s="6">
        <v>5</v>
      </c>
    </row>
    <row r="6" spans="1:13" x14ac:dyDescent="0.35">
      <c r="A6" s="8">
        <v>3</v>
      </c>
      <c r="B6" s="9">
        <v>0.43332999999999999</v>
      </c>
      <c r="C6" s="9">
        <v>1</v>
      </c>
      <c r="D6" s="9">
        <v>0.60465000000000002</v>
      </c>
      <c r="E6" s="9"/>
      <c r="F6" s="6">
        <v>13</v>
      </c>
      <c r="G6" s="6">
        <v>13</v>
      </c>
      <c r="H6" s="6">
        <v>17</v>
      </c>
      <c r="I6" s="6">
        <v>0</v>
      </c>
    </row>
    <row r="7" spans="1:13" x14ac:dyDescent="0.35">
      <c r="A7" s="8">
        <v>4</v>
      </c>
      <c r="B7" s="9">
        <v>0.42857000000000001</v>
      </c>
      <c r="C7" s="9">
        <v>0.91303999999999996</v>
      </c>
      <c r="D7" s="9">
        <v>0.58333000000000002</v>
      </c>
      <c r="E7" s="9"/>
      <c r="F7" s="6">
        <v>23</v>
      </c>
      <c r="G7" s="6">
        <v>21</v>
      </c>
      <c r="H7" s="6">
        <v>28</v>
      </c>
      <c r="I7" s="6">
        <v>2</v>
      </c>
    </row>
    <row r="8" spans="1:13" x14ac:dyDescent="0.35">
      <c r="A8" s="8">
        <v>5</v>
      </c>
      <c r="B8" s="9">
        <v>1</v>
      </c>
      <c r="C8" s="9">
        <v>0.92308000000000001</v>
      </c>
      <c r="D8" s="9">
        <v>0.96</v>
      </c>
      <c r="E8" s="9"/>
      <c r="F8" s="6">
        <v>13</v>
      </c>
      <c r="G8" s="6">
        <v>12</v>
      </c>
      <c r="H8" s="6">
        <v>0</v>
      </c>
      <c r="I8" s="6">
        <v>1</v>
      </c>
    </row>
    <row r="9" spans="1:13" x14ac:dyDescent="0.35">
      <c r="A9" s="8">
        <v>6</v>
      </c>
      <c r="B9" s="9">
        <v>0.83333000000000002</v>
      </c>
      <c r="C9" s="9">
        <v>0.9375</v>
      </c>
      <c r="D9" s="9">
        <v>0.88234999999999997</v>
      </c>
      <c r="E9" s="9"/>
      <c r="F9" s="6">
        <v>16</v>
      </c>
      <c r="G9" s="6">
        <v>15</v>
      </c>
      <c r="H9" s="6">
        <v>3</v>
      </c>
      <c r="I9" s="6">
        <v>1</v>
      </c>
    </row>
    <row r="10" spans="1:13" x14ac:dyDescent="0.35">
      <c r="A10" s="8">
        <v>7</v>
      </c>
      <c r="B10" s="9">
        <v>0.2</v>
      </c>
      <c r="C10" s="9">
        <v>0.85714000000000001</v>
      </c>
      <c r="D10" s="9">
        <v>0.32432</v>
      </c>
      <c r="E10" s="9"/>
      <c r="F10" s="6">
        <v>7</v>
      </c>
      <c r="G10" s="6">
        <v>6</v>
      </c>
      <c r="H10" s="6">
        <v>24</v>
      </c>
      <c r="I10" s="6">
        <v>1</v>
      </c>
    </row>
    <row r="11" spans="1:13" x14ac:dyDescent="0.35">
      <c r="A11" s="8">
        <v>8</v>
      </c>
      <c r="B11" s="9">
        <v>0.98570999999999998</v>
      </c>
      <c r="C11" s="9">
        <v>0.86551</v>
      </c>
      <c r="D11" s="9">
        <v>0.92171000000000003</v>
      </c>
      <c r="E11" s="9"/>
      <c r="F11" s="6">
        <v>1435</v>
      </c>
      <c r="G11" s="6">
        <v>1242</v>
      </c>
      <c r="H11" s="6">
        <v>18</v>
      </c>
      <c r="I11" s="6">
        <v>193</v>
      </c>
    </row>
    <row r="12" spans="1:13" x14ac:dyDescent="0.35">
      <c r="A12" s="4" t="s">
        <v>16</v>
      </c>
      <c r="B12" s="9">
        <v>0.49045</v>
      </c>
      <c r="C12" s="9">
        <v>0.89534999999999998</v>
      </c>
      <c r="D12" s="9">
        <v>0.63373999999999997</v>
      </c>
      <c r="E12" s="9"/>
      <c r="G12" s="6">
        <v>154</v>
      </c>
      <c r="H12" s="6">
        <v>160</v>
      </c>
      <c r="I12" s="6">
        <v>18</v>
      </c>
      <c r="J12" s="6">
        <v>1275</v>
      </c>
      <c r="K12" s="9">
        <v>0.88922999999999996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26BB-3106-4441-A5CA-A95D4CC6B90D}">
  <dimension ref="A1:M12"/>
  <sheetViews>
    <sheetView workbookViewId="0">
      <selection activeCell="H24" sqref="H24"/>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0.72297</v>
      </c>
      <c r="C2" s="9">
        <v>0.72609999999999997</v>
      </c>
      <c r="D2" s="9">
        <v>0.49403000000000002</v>
      </c>
      <c r="E2" s="9">
        <v>0.72453000000000001</v>
      </c>
      <c r="F2" s="6">
        <v>1607</v>
      </c>
      <c r="G2" s="7"/>
      <c r="H2" s="7"/>
      <c r="I2" s="7"/>
      <c r="J2" s="7"/>
      <c r="K2" s="9">
        <v>0.71686000000000005</v>
      </c>
      <c r="L2" s="6">
        <v>0</v>
      </c>
      <c r="M2" s="6">
        <v>0</v>
      </c>
    </row>
    <row r="3" spans="1:13" x14ac:dyDescent="0.35">
      <c r="A3" s="8">
        <v>0</v>
      </c>
      <c r="B3" s="9">
        <v>0.21765000000000001</v>
      </c>
      <c r="C3" s="9">
        <v>0.97367999999999999</v>
      </c>
      <c r="D3" s="9">
        <v>0.35576999999999998</v>
      </c>
      <c r="E3" s="9"/>
      <c r="F3" s="6">
        <v>38</v>
      </c>
      <c r="G3" s="6">
        <v>37</v>
      </c>
      <c r="H3" s="6">
        <v>133</v>
      </c>
      <c r="I3" s="6">
        <v>1</v>
      </c>
    </row>
    <row r="4" spans="1:13" x14ac:dyDescent="0.35">
      <c r="A4" s="8">
        <v>1</v>
      </c>
      <c r="B4" s="9">
        <v>0.55101999999999995</v>
      </c>
      <c r="C4" s="9">
        <v>0.71052999999999999</v>
      </c>
      <c r="D4" s="9">
        <v>0.62068999999999996</v>
      </c>
      <c r="E4" s="9"/>
      <c r="F4" s="6">
        <v>38</v>
      </c>
      <c r="G4" s="6">
        <v>27</v>
      </c>
      <c r="H4" s="6">
        <v>22</v>
      </c>
      <c r="I4" s="6">
        <v>11</v>
      </c>
    </row>
    <row r="5" spans="1:13" x14ac:dyDescent="0.35">
      <c r="A5" s="8">
        <v>2</v>
      </c>
      <c r="B5" s="9">
        <v>0.37974999999999998</v>
      </c>
      <c r="C5" s="9">
        <v>0.78947000000000001</v>
      </c>
      <c r="D5" s="9">
        <v>0.51282000000000005</v>
      </c>
      <c r="E5" s="9"/>
      <c r="F5" s="6">
        <v>38</v>
      </c>
      <c r="G5" s="6">
        <v>30</v>
      </c>
      <c r="H5" s="6">
        <v>49</v>
      </c>
      <c r="I5" s="6">
        <v>8</v>
      </c>
    </row>
    <row r="6" spans="1:13" x14ac:dyDescent="0.35">
      <c r="A6" s="8">
        <v>3</v>
      </c>
      <c r="B6" s="9">
        <v>0.18840999999999999</v>
      </c>
      <c r="C6" s="9">
        <v>1</v>
      </c>
      <c r="D6" s="9">
        <v>0.31707000000000002</v>
      </c>
      <c r="E6" s="9"/>
      <c r="F6" s="6">
        <v>13</v>
      </c>
      <c r="G6" s="6">
        <v>13</v>
      </c>
      <c r="H6" s="6">
        <v>56</v>
      </c>
      <c r="I6" s="6">
        <v>0</v>
      </c>
    </row>
    <row r="7" spans="1:13" x14ac:dyDescent="0.35">
      <c r="A7" s="8">
        <v>4</v>
      </c>
      <c r="B7" s="9">
        <v>0.17949000000000001</v>
      </c>
      <c r="C7" s="9">
        <v>0.91303999999999996</v>
      </c>
      <c r="D7" s="9">
        <v>0.3</v>
      </c>
      <c r="E7" s="9"/>
      <c r="F7" s="6">
        <v>23</v>
      </c>
      <c r="G7" s="6">
        <v>21</v>
      </c>
      <c r="H7" s="6">
        <v>96</v>
      </c>
      <c r="I7" s="6">
        <v>2</v>
      </c>
    </row>
    <row r="8" spans="1:13" x14ac:dyDescent="0.35">
      <c r="A8" s="8">
        <v>5</v>
      </c>
      <c r="B8" s="9">
        <v>0.375</v>
      </c>
      <c r="C8" s="9">
        <v>0.92308000000000001</v>
      </c>
      <c r="D8" s="9">
        <v>0.53332999999999997</v>
      </c>
      <c r="E8" s="9"/>
      <c r="F8" s="6">
        <v>13</v>
      </c>
      <c r="G8" s="6">
        <v>12</v>
      </c>
      <c r="H8" s="6">
        <v>20</v>
      </c>
      <c r="I8" s="6">
        <v>1</v>
      </c>
    </row>
    <row r="9" spans="1:13" x14ac:dyDescent="0.35">
      <c r="A9" s="8">
        <v>6</v>
      </c>
      <c r="B9" s="9">
        <v>0.66666999999999998</v>
      </c>
      <c r="C9" s="9">
        <v>1</v>
      </c>
      <c r="D9" s="9">
        <v>0.8</v>
      </c>
      <c r="E9" s="9"/>
      <c r="F9" s="6">
        <v>16</v>
      </c>
      <c r="G9" s="6">
        <v>16</v>
      </c>
      <c r="H9" s="6">
        <v>8</v>
      </c>
      <c r="I9" s="6">
        <v>0</v>
      </c>
    </row>
    <row r="10" spans="1:13" x14ac:dyDescent="0.35">
      <c r="A10" s="8">
        <v>7</v>
      </c>
      <c r="B10" s="9">
        <v>9.8589999999999997E-2</v>
      </c>
      <c r="C10" s="9">
        <v>1</v>
      </c>
      <c r="D10" s="9">
        <v>0.17949000000000001</v>
      </c>
      <c r="E10" s="9"/>
      <c r="F10" s="6">
        <v>7</v>
      </c>
      <c r="G10" s="6">
        <v>7</v>
      </c>
      <c r="H10" s="6">
        <v>64</v>
      </c>
      <c r="I10" s="6">
        <v>0</v>
      </c>
    </row>
    <row r="11" spans="1:13" x14ac:dyDescent="0.35">
      <c r="A11" s="8">
        <v>8</v>
      </c>
      <c r="B11" s="9">
        <v>0.99704999999999999</v>
      </c>
      <c r="C11" s="9">
        <v>0.70662000000000003</v>
      </c>
      <c r="D11" s="9">
        <v>0.82708000000000004</v>
      </c>
      <c r="E11" s="9"/>
      <c r="F11" s="6">
        <v>1435</v>
      </c>
      <c r="G11" s="6">
        <v>1014</v>
      </c>
      <c r="H11" s="6">
        <v>3</v>
      </c>
      <c r="I11" s="6">
        <v>421</v>
      </c>
    </row>
    <row r="12" spans="1:13" x14ac:dyDescent="0.35">
      <c r="A12" s="4" t="s">
        <v>16</v>
      </c>
      <c r="B12" s="9">
        <v>0.28643999999999997</v>
      </c>
      <c r="C12" s="9">
        <v>0.98255999999999999</v>
      </c>
      <c r="D12" s="9">
        <v>0.44357000000000002</v>
      </c>
      <c r="E12" s="9"/>
      <c r="G12" s="6">
        <v>169</v>
      </c>
      <c r="H12" s="6">
        <v>421</v>
      </c>
      <c r="I12" s="6">
        <v>3</v>
      </c>
      <c r="J12" s="6">
        <v>1014</v>
      </c>
      <c r="K12" s="9">
        <v>0.73614999999999997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E30A-9DC9-4860-B2F7-AAD26074A127}">
  <dimension ref="A1:M12"/>
  <sheetViews>
    <sheetView workbookViewId="0">
      <selection activeCell="H25" sqref="H25"/>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0.69896000000000003</v>
      </c>
      <c r="C2" s="9">
        <v>0.70759000000000005</v>
      </c>
      <c r="D2" s="9">
        <v>0.46995999999999999</v>
      </c>
      <c r="E2" s="9">
        <v>0.70325000000000004</v>
      </c>
      <c r="F2" s="6">
        <v>1607</v>
      </c>
      <c r="G2" s="7"/>
      <c r="H2" s="7"/>
      <c r="I2" s="7"/>
      <c r="J2" s="7"/>
      <c r="K2" s="9">
        <v>0.69694999999999996</v>
      </c>
      <c r="L2" s="6">
        <v>2</v>
      </c>
      <c r="M2" s="6">
        <v>1.24E-3</v>
      </c>
    </row>
    <row r="3" spans="1:13" x14ac:dyDescent="0.35">
      <c r="A3" s="8">
        <v>0</v>
      </c>
      <c r="B3" s="9">
        <v>0.21512000000000001</v>
      </c>
      <c r="C3" s="9">
        <v>0.97367999999999999</v>
      </c>
      <c r="D3" s="9">
        <v>0.35238000000000003</v>
      </c>
      <c r="E3" s="9"/>
      <c r="F3" s="6">
        <v>38</v>
      </c>
      <c r="G3" s="6">
        <v>37</v>
      </c>
      <c r="H3" s="6">
        <v>135</v>
      </c>
      <c r="I3" s="6">
        <v>1</v>
      </c>
    </row>
    <row r="4" spans="1:13" x14ac:dyDescent="0.35">
      <c r="A4" s="8">
        <v>1</v>
      </c>
      <c r="B4" s="9">
        <v>0.52727000000000002</v>
      </c>
      <c r="C4" s="9">
        <v>0.76315999999999995</v>
      </c>
      <c r="D4" s="9">
        <v>0.62365999999999999</v>
      </c>
      <c r="E4" s="9"/>
      <c r="F4" s="6">
        <v>38</v>
      </c>
      <c r="G4" s="6">
        <v>29</v>
      </c>
      <c r="H4" s="6">
        <v>26</v>
      </c>
      <c r="I4" s="6">
        <v>9</v>
      </c>
    </row>
    <row r="5" spans="1:13" x14ac:dyDescent="0.35">
      <c r="A5" s="8">
        <v>2</v>
      </c>
      <c r="B5" s="9">
        <v>0.35227000000000003</v>
      </c>
      <c r="C5" s="9">
        <v>0.81579000000000002</v>
      </c>
      <c r="D5" s="9">
        <v>0.49206</v>
      </c>
      <c r="E5" s="9"/>
      <c r="F5" s="6">
        <v>38</v>
      </c>
      <c r="G5" s="6">
        <v>31</v>
      </c>
      <c r="H5" s="6">
        <v>57</v>
      </c>
      <c r="I5" s="6">
        <v>7</v>
      </c>
    </row>
    <row r="6" spans="1:13" x14ac:dyDescent="0.35">
      <c r="A6" s="8">
        <v>3</v>
      </c>
      <c r="B6" s="9">
        <v>0.15115999999999999</v>
      </c>
      <c r="C6" s="9">
        <v>1</v>
      </c>
      <c r="D6" s="9">
        <v>0.26262999999999997</v>
      </c>
      <c r="E6" s="9"/>
      <c r="F6" s="6">
        <v>13</v>
      </c>
      <c r="G6" s="6">
        <v>13</v>
      </c>
      <c r="H6" s="6">
        <v>73</v>
      </c>
      <c r="I6" s="6">
        <v>0</v>
      </c>
    </row>
    <row r="7" spans="1:13" x14ac:dyDescent="0.35">
      <c r="A7" s="8">
        <v>4</v>
      </c>
      <c r="B7" s="9">
        <v>0.14285999999999999</v>
      </c>
      <c r="C7" s="9">
        <v>0.52173999999999998</v>
      </c>
      <c r="D7" s="9">
        <v>0.2243</v>
      </c>
      <c r="E7" s="9"/>
      <c r="F7" s="6">
        <v>23</v>
      </c>
      <c r="G7" s="6">
        <v>12</v>
      </c>
      <c r="H7" s="6">
        <v>72</v>
      </c>
      <c r="I7" s="6">
        <v>11</v>
      </c>
    </row>
    <row r="8" spans="1:13" x14ac:dyDescent="0.35">
      <c r="A8" s="8">
        <v>5</v>
      </c>
      <c r="B8" s="9">
        <v>0.5</v>
      </c>
      <c r="C8" s="9">
        <v>1</v>
      </c>
      <c r="D8" s="9">
        <v>0.66666999999999998</v>
      </c>
      <c r="E8" s="9"/>
      <c r="F8" s="6">
        <v>13</v>
      </c>
      <c r="G8" s="6">
        <v>13</v>
      </c>
      <c r="H8" s="6">
        <v>13</v>
      </c>
      <c r="I8" s="6">
        <v>0</v>
      </c>
    </row>
    <row r="9" spans="1:13" x14ac:dyDescent="0.35">
      <c r="A9" s="8">
        <v>6</v>
      </c>
      <c r="B9" s="9">
        <v>0.5</v>
      </c>
      <c r="C9" s="9">
        <v>1</v>
      </c>
      <c r="D9" s="9">
        <v>0.66666999999999998</v>
      </c>
      <c r="E9" s="9"/>
      <c r="F9" s="6">
        <v>16</v>
      </c>
      <c r="G9" s="6">
        <v>16</v>
      </c>
      <c r="H9" s="6">
        <v>16</v>
      </c>
      <c r="I9" s="6">
        <v>0</v>
      </c>
    </row>
    <row r="10" spans="1:13" x14ac:dyDescent="0.35">
      <c r="A10" s="8">
        <v>7</v>
      </c>
      <c r="B10" s="9">
        <v>6.7960000000000007E-2</v>
      </c>
      <c r="C10" s="9">
        <v>1</v>
      </c>
      <c r="D10" s="9">
        <v>0.12726999999999999</v>
      </c>
      <c r="E10" s="9"/>
      <c r="F10" s="6">
        <v>7</v>
      </c>
      <c r="G10" s="6">
        <v>7</v>
      </c>
      <c r="H10" s="6">
        <v>96</v>
      </c>
      <c r="I10" s="6">
        <v>0</v>
      </c>
    </row>
    <row r="11" spans="1:13" x14ac:dyDescent="0.35">
      <c r="A11" s="8">
        <v>8</v>
      </c>
      <c r="B11" s="9">
        <v>0.99397000000000002</v>
      </c>
      <c r="C11" s="9">
        <v>0.68920000000000003</v>
      </c>
      <c r="D11" s="9">
        <v>0.81398999999999999</v>
      </c>
      <c r="E11" s="9"/>
      <c r="F11" s="6">
        <v>1435</v>
      </c>
      <c r="G11" s="6">
        <v>989</v>
      </c>
      <c r="H11" s="6">
        <v>6</v>
      </c>
      <c r="I11" s="6">
        <v>446</v>
      </c>
    </row>
    <row r="12" spans="1:13" x14ac:dyDescent="0.35">
      <c r="A12" s="4" t="s">
        <v>16</v>
      </c>
      <c r="B12" s="9">
        <v>0.27212999999999998</v>
      </c>
      <c r="C12" s="9">
        <v>0.96511999999999998</v>
      </c>
      <c r="D12" s="9">
        <v>0.42454999999999998</v>
      </c>
      <c r="E12" s="9"/>
      <c r="G12" s="6">
        <v>166</v>
      </c>
      <c r="H12" s="6">
        <v>444</v>
      </c>
      <c r="I12" s="6">
        <v>6</v>
      </c>
      <c r="J12" s="6">
        <v>991</v>
      </c>
      <c r="K12" s="9">
        <v>0.71997999999999995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EF8A-821A-4292-887E-3DD5EAD2898B}">
  <dimension ref="A1:M12"/>
  <sheetViews>
    <sheetView workbookViewId="0">
      <selection sqref="A1:XFD1048576"/>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0.6986</v>
      </c>
      <c r="C2" s="9">
        <v>0.70635000000000003</v>
      </c>
      <c r="D2" s="9">
        <v>0.48443000000000003</v>
      </c>
      <c r="E2" s="9">
        <v>0.70245000000000002</v>
      </c>
      <c r="F2" s="6">
        <v>1607</v>
      </c>
      <c r="G2" s="7"/>
      <c r="H2" s="7"/>
      <c r="I2" s="7"/>
      <c r="J2" s="7"/>
      <c r="K2" s="9">
        <v>0.69633</v>
      </c>
      <c r="L2" s="6">
        <v>0</v>
      </c>
      <c r="M2" s="6">
        <v>0</v>
      </c>
    </row>
    <row r="3" spans="1:13" x14ac:dyDescent="0.35">
      <c r="A3" s="8">
        <v>0</v>
      </c>
      <c r="B3" s="9">
        <v>0.19792000000000001</v>
      </c>
      <c r="C3" s="9">
        <v>1</v>
      </c>
      <c r="D3" s="9">
        <v>0.33043</v>
      </c>
      <c r="E3" s="9"/>
      <c r="F3" s="6">
        <v>38</v>
      </c>
      <c r="G3" s="6">
        <v>38</v>
      </c>
      <c r="H3" s="6">
        <v>154</v>
      </c>
      <c r="I3" s="6">
        <v>0</v>
      </c>
    </row>
    <row r="4" spans="1:13" x14ac:dyDescent="0.35">
      <c r="A4" s="8">
        <v>1</v>
      </c>
      <c r="B4" s="9">
        <v>0.53061000000000003</v>
      </c>
      <c r="C4" s="9">
        <v>0.68420999999999998</v>
      </c>
      <c r="D4" s="9">
        <v>0.59770000000000001</v>
      </c>
      <c r="E4" s="9"/>
      <c r="F4" s="6">
        <v>38</v>
      </c>
      <c r="G4" s="6">
        <v>26</v>
      </c>
      <c r="H4" s="6">
        <v>23</v>
      </c>
      <c r="I4" s="6">
        <v>12</v>
      </c>
    </row>
    <row r="5" spans="1:13" x14ac:dyDescent="0.35">
      <c r="A5" s="8">
        <v>2</v>
      </c>
      <c r="B5" s="9">
        <v>0.32291999999999998</v>
      </c>
      <c r="C5" s="9">
        <v>0.81579000000000002</v>
      </c>
      <c r="D5" s="9">
        <v>0.46268999999999999</v>
      </c>
      <c r="E5" s="9"/>
      <c r="F5" s="6">
        <v>38</v>
      </c>
      <c r="G5" s="6">
        <v>31</v>
      </c>
      <c r="H5" s="6">
        <v>65</v>
      </c>
      <c r="I5" s="6">
        <v>7</v>
      </c>
    </row>
    <row r="6" spans="1:13" x14ac:dyDescent="0.35">
      <c r="A6" s="8">
        <v>3</v>
      </c>
      <c r="B6" s="9">
        <v>0.15662999999999999</v>
      </c>
      <c r="C6" s="9">
        <v>1</v>
      </c>
      <c r="D6" s="9">
        <v>0.27083000000000002</v>
      </c>
      <c r="E6" s="9"/>
      <c r="F6" s="6">
        <v>13</v>
      </c>
      <c r="G6" s="6">
        <v>13</v>
      </c>
      <c r="H6" s="6">
        <v>70</v>
      </c>
      <c r="I6" s="6">
        <v>0</v>
      </c>
    </row>
    <row r="7" spans="1:13" x14ac:dyDescent="0.35">
      <c r="A7" s="8">
        <v>4</v>
      </c>
      <c r="B7" s="9">
        <v>0.17857000000000001</v>
      </c>
      <c r="C7" s="9">
        <v>0.65217000000000003</v>
      </c>
      <c r="D7" s="9">
        <v>0.28037000000000001</v>
      </c>
      <c r="E7" s="9"/>
      <c r="F7" s="6">
        <v>23</v>
      </c>
      <c r="G7" s="6">
        <v>15</v>
      </c>
      <c r="H7" s="6">
        <v>69</v>
      </c>
      <c r="I7" s="6">
        <v>8</v>
      </c>
    </row>
    <row r="8" spans="1:13" x14ac:dyDescent="0.35">
      <c r="A8" s="8">
        <v>5</v>
      </c>
      <c r="B8" s="9">
        <v>0.56521999999999994</v>
      </c>
      <c r="C8" s="9">
        <v>1</v>
      </c>
      <c r="D8" s="9">
        <v>0.72221999999999997</v>
      </c>
      <c r="E8" s="9"/>
      <c r="F8" s="6">
        <v>13</v>
      </c>
      <c r="G8" s="6">
        <v>13</v>
      </c>
      <c r="H8" s="6">
        <v>10</v>
      </c>
      <c r="I8" s="6">
        <v>0</v>
      </c>
    </row>
    <row r="9" spans="1:13" x14ac:dyDescent="0.35">
      <c r="A9" s="8">
        <v>6</v>
      </c>
      <c r="B9" s="9">
        <v>0.59258999999999995</v>
      </c>
      <c r="C9" s="9">
        <v>1</v>
      </c>
      <c r="D9" s="9">
        <v>0.74419000000000002</v>
      </c>
      <c r="E9" s="9"/>
      <c r="F9" s="6">
        <v>16</v>
      </c>
      <c r="G9" s="6">
        <v>16</v>
      </c>
      <c r="H9" s="6">
        <v>11</v>
      </c>
      <c r="I9" s="6">
        <v>0</v>
      </c>
    </row>
    <row r="10" spans="1:13" x14ac:dyDescent="0.35">
      <c r="A10" s="8">
        <v>7</v>
      </c>
      <c r="B10" s="9">
        <v>7.4469999999999995E-2</v>
      </c>
      <c r="C10" s="9">
        <v>1</v>
      </c>
      <c r="D10" s="9">
        <v>0.13861000000000001</v>
      </c>
      <c r="E10" s="9"/>
      <c r="F10" s="6">
        <v>7</v>
      </c>
      <c r="G10" s="6">
        <v>7</v>
      </c>
      <c r="H10" s="6">
        <v>87</v>
      </c>
      <c r="I10" s="6">
        <v>0</v>
      </c>
    </row>
    <row r="11" spans="1:13" x14ac:dyDescent="0.35">
      <c r="A11" s="8">
        <v>8</v>
      </c>
      <c r="B11" s="9">
        <v>0.99495</v>
      </c>
      <c r="C11" s="9">
        <v>0.68711</v>
      </c>
      <c r="D11" s="9">
        <v>0.81286000000000003</v>
      </c>
      <c r="E11" s="9"/>
      <c r="F11" s="6">
        <v>1435</v>
      </c>
      <c r="G11" s="6">
        <v>986</v>
      </c>
      <c r="H11" s="6">
        <v>5</v>
      </c>
      <c r="I11" s="6">
        <v>449</v>
      </c>
    </row>
    <row r="12" spans="1:13" x14ac:dyDescent="0.35">
      <c r="A12" s="4" t="s">
        <v>16</v>
      </c>
      <c r="B12" s="9">
        <v>0.27110000000000001</v>
      </c>
      <c r="C12" s="9">
        <v>0.97092999999999996</v>
      </c>
      <c r="D12" s="9">
        <v>0.42386000000000001</v>
      </c>
      <c r="E12" s="9"/>
      <c r="G12" s="6">
        <v>167</v>
      </c>
      <c r="H12" s="6">
        <v>449</v>
      </c>
      <c r="I12" s="6">
        <v>5</v>
      </c>
      <c r="J12" s="6">
        <v>986</v>
      </c>
      <c r="K12" s="9">
        <v>0.71748999999999996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F8B03-6F61-4680-AA9F-ACD79B098276}">
  <dimension ref="A1:M12"/>
  <sheetViews>
    <sheetView workbookViewId="0">
      <selection sqref="A1:XFD1048576"/>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0.50231999999999999</v>
      </c>
      <c r="C2" s="9">
        <v>0.53486</v>
      </c>
      <c r="D2" s="9">
        <v>0.36101</v>
      </c>
      <c r="E2" s="9">
        <v>0.51807999999999998</v>
      </c>
      <c r="F2" s="6">
        <v>1607</v>
      </c>
      <c r="G2" s="7"/>
      <c r="H2" s="7"/>
      <c r="I2" s="7"/>
      <c r="J2" s="7"/>
      <c r="K2" s="9">
        <v>0.51710999999999996</v>
      </c>
      <c r="L2" s="6">
        <v>1</v>
      </c>
      <c r="M2" s="6">
        <v>6.2E-4</v>
      </c>
    </row>
    <row r="3" spans="1:13" x14ac:dyDescent="0.35">
      <c r="A3" s="8">
        <v>0</v>
      </c>
      <c r="B3" s="9">
        <v>0.14859</v>
      </c>
      <c r="C3" s="9">
        <v>0.97367999999999999</v>
      </c>
      <c r="D3" s="9">
        <v>0.25784000000000001</v>
      </c>
      <c r="E3" s="9"/>
      <c r="F3" s="6">
        <v>38</v>
      </c>
      <c r="G3" s="6">
        <v>37</v>
      </c>
      <c r="H3" s="6">
        <v>212</v>
      </c>
      <c r="I3" s="6">
        <v>1</v>
      </c>
    </row>
    <row r="4" spans="1:13" x14ac:dyDescent="0.35">
      <c r="A4" s="8">
        <v>1</v>
      </c>
      <c r="B4" s="9">
        <v>0.34831000000000001</v>
      </c>
      <c r="C4" s="9">
        <v>0.81579000000000002</v>
      </c>
      <c r="D4" s="9">
        <v>0.48819000000000001</v>
      </c>
      <c r="E4" s="9"/>
      <c r="F4" s="6">
        <v>38</v>
      </c>
      <c r="G4" s="6">
        <v>31</v>
      </c>
      <c r="H4" s="6">
        <v>58</v>
      </c>
      <c r="I4" s="6">
        <v>7</v>
      </c>
    </row>
    <row r="5" spans="1:13" x14ac:dyDescent="0.35">
      <c r="A5" s="8">
        <v>2</v>
      </c>
      <c r="B5" s="9">
        <v>0.27868999999999999</v>
      </c>
      <c r="C5" s="9">
        <v>0.89473999999999998</v>
      </c>
      <c r="D5" s="9">
        <v>0.42499999999999999</v>
      </c>
      <c r="E5" s="9"/>
      <c r="F5" s="6">
        <v>38</v>
      </c>
      <c r="G5" s="6">
        <v>34</v>
      </c>
      <c r="H5" s="6">
        <v>88</v>
      </c>
      <c r="I5" s="6">
        <v>4</v>
      </c>
    </row>
    <row r="6" spans="1:13" x14ac:dyDescent="0.35">
      <c r="A6" s="8">
        <v>3</v>
      </c>
      <c r="B6" s="9">
        <v>0.14607000000000001</v>
      </c>
      <c r="C6" s="9">
        <v>1</v>
      </c>
      <c r="D6" s="9">
        <v>0.25490000000000002</v>
      </c>
      <c r="E6" s="9"/>
      <c r="F6" s="6">
        <v>13</v>
      </c>
      <c r="G6" s="6">
        <v>13</v>
      </c>
      <c r="H6" s="6">
        <v>76</v>
      </c>
      <c r="I6" s="6">
        <v>0</v>
      </c>
    </row>
    <row r="7" spans="1:13" x14ac:dyDescent="0.35">
      <c r="A7" s="8">
        <v>4</v>
      </c>
      <c r="B7" s="9">
        <v>6.7460000000000006E-2</v>
      </c>
      <c r="C7" s="9">
        <v>0.73912999999999995</v>
      </c>
      <c r="D7" s="9">
        <v>0.12364</v>
      </c>
      <c r="E7" s="9"/>
      <c r="F7" s="6">
        <v>23</v>
      </c>
      <c r="G7" s="6">
        <v>17</v>
      </c>
      <c r="H7" s="6">
        <v>235</v>
      </c>
      <c r="I7" s="6">
        <v>6</v>
      </c>
    </row>
    <row r="8" spans="1:13" x14ac:dyDescent="0.35">
      <c r="A8" s="8">
        <v>5</v>
      </c>
      <c r="B8" s="9">
        <v>0.30952000000000002</v>
      </c>
      <c r="C8" s="9">
        <v>1</v>
      </c>
      <c r="D8" s="9">
        <v>0.47272999999999998</v>
      </c>
      <c r="E8" s="9"/>
      <c r="F8" s="6">
        <v>13</v>
      </c>
      <c r="G8" s="6">
        <v>13</v>
      </c>
      <c r="H8" s="6">
        <v>29</v>
      </c>
      <c r="I8" s="6">
        <v>0</v>
      </c>
    </row>
    <row r="9" spans="1:13" x14ac:dyDescent="0.35">
      <c r="A9" s="8">
        <v>6</v>
      </c>
      <c r="B9" s="9">
        <v>0.30769000000000002</v>
      </c>
      <c r="C9" s="9">
        <v>1</v>
      </c>
      <c r="D9" s="9">
        <v>0.47059000000000001</v>
      </c>
      <c r="E9" s="9"/>
      <c r="F9" s="6">
        <v>16</v>
      </c>
      <c r="G9" s="6">
        <v>16</v>
      </c>
      <c r="H9" s="6">
        <v>36</v>
      </c>
      <c r="I9" s="6">
        <v>0</v>
      </c>
    </row>
    <row r="10" spans="1:13" x14ac:dyDescent="0.35">
      <c r="A10" s="8">
        <v>7</v>
      </c>
      <c r="B10" s="9">
        <v>5.3440000000000001E-2</v>
      </c>
      <c r="C10" s="9">
        <v>1</v>
      </c>
      <c r="D10" s="9">
        <v>0.10145</v>
      </c>
      <c r="E10" s="9"/>
      <c r="F10" s="6">
        <v>7</v>
      </c>
      <c r="G10" s="6">
        <v>7</v>
      </c>
      <c r="H10" s="6">
        <v>124</v>
      </c>
      <c r="I10" s="6">
        <v>0</v>
      </c>
    </row>
    <row r="11" spans="1:13" x14ac:dyDescent="0.35">
      <c r="A11" s="8">
        <v>8</v>
      </c>
      <c r="B11" s="9">
        <v>0.99856999999999996</v>
      </c>
      <c r="C11" s="9">
        <v>0.48710999999999999</v>
      </c>
      <c r="D11" s="9">
        <v>0.65480000000000005</v>
      </c>
      <c r="E11" s="9"/>
      <c r="F11" s="6">
        <v>1435</v>
      </c>
      <c r="G11" s="6">
        <v>699</v>
      </c>
      <c r="H11" s="6">
        <v>1</v>
      </c>
      <c r="I11" s="6">
        <v>736</v>
      </c>
    </row>
    <row r="12" spans="1:13" x14ac:dyDescent="0.35">
      <c r="A12" s="4" t="s">
        <v>16</v>
      </c>
      <c r="B12" s="9">
        <v>0.18873999999999999</v>
      </c>
      <c r="C12" s="9">
        <v>0.99419000000000002</v>
      </c>
      <c r="D12" s="9">
        <v>0.31724999999999998</v>
      </c>
      <c r="E12" s="9"/>
      <c r="G12" s="6">
        <v>171</v>
      </c>
      <c r="H12" s="6">
        <v>735</v>
      </c>
      <c r="I12" s="6">
        <v>1</v>
      </c>
      <c r="J12" s="6">
        <v>700</v>
      </c>
      <c r="K12" s="9">
        <v>0.54200000000000004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5DB99-82B9-4770-84EA-92B101F9313C}">
  <dimension ref="A1:M15"/>
  <sheetViews>
    <sheetView workbookViewId="0">
      <selection activeCell="E2" sqref="E2"/>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0.78186</v>
      </c>
      <c r="C2" s="9">
        <v>0.78717000000000004</v>
      </c>
      <c r="D2" s="9">
        <v>0.53627000000000002</v>
      </c>
      <c r="E2" s="9">
        <v>0.78451000000000004</v>
      </c>
      <c r="F2" s="6">
        <v>1607</v>
      </c>
      <c r="G2" s="7"/>
      <c r="H2" s="7"/>
      <c r="I2" s="7"/>
      <c r="J2" s="7"/>
      <c r="K2" s="9">
        <v>0.77908999999999995</v>
      </c>
      <c r="L2" s="6">
        <v>0</v>
      </c>
      <c r="M2" s="6">
        <v>0</v>
      </c>
    </row>
    <row r="3" spans="1:13" x14ac:dyDescent="0.35">
      <c r="A3" s="8">
        <v>0</v>
      </c>
      <c r="B3" s="9">
        <v>0.30357000000000001</v>
      </c>
      <c r="C3" s="9">
        <v>0.89473999999999998</v>
      </c>
      <c r="D3" s="9">
        <v>0.45333000000000001</v>
      </c>
      <c r="E3" s="9"/>
      <c r="F3" s="6">
        <v>38</v>
      </c>
      <c r="G3" s="6">
        <v>34</v>
      </c>
      <c r="H3" s="6">
        <v>78</v>
      </c>
      <c r="I3" s="6">
        <v>4</v>
      </c>
    </row>
    <row r="4" spans="1:13" x14ac:dyDescent="0.35">
      <c r="A4" s="8">
        <v>1</v>
      </c>
      <c r="B4" s="9">
        <v>0.30556</v>
      </c>
      <c r="C4" s="9">
        <v>0.86841999999999997</v>
      </c>
      <c r="D4" s="9">
        <v>0.45205000000000001</v>
      </c>
      <c r="E4" s="9"/>
      <c r="F4" s="6">
        <v>38</v>
      </c>
      <c r="G4" s="6">
        <v>33</v>
      </c>
      <c r="H4" s="6">
        <v>75</v>
      </c>
      <c r="I4" s="6">
        <v>5</v>
      </c>
    </row>
    <row r="5" spans="1:13" x14ac:dyDescent="0.35">
      <c r="A5" s="8">
        <v>2</v>
      </c>
      <c r="B5" s="9">
        <v>0.37879000000000002</v>
      </c>
      <c r="C5" s="9">
        <v>0.65788999999999997</v>
      </c>
      <c r="D5" s="9">
        <v>0.48076999999999998</v>
      </c>
      <c r="E5" s="9"/>
      <c r="F5" s="6">
        <v>38</v>
      </c>
      <c r="G5" s="6">
        <v>25</v>
      </c>
      <c r="H5" s="6">
        <v>41</v>
      </c>
      <c r="I5" s="6">
        <v>13</v>
      </c>
    </row>
    <row r="6" spans="1:13" x14ac:dyDescent="0.35">
      <c r="A6" s="8">
        <v>3</v>
      </c>
      <c r="B6" s="9">
        <v>0.31707000000000002</v>
      </c>
      <c r="C6" s="9">
        <v>1</v>
      </c>
      <c r="D6" s="9">
        <v>0.48148000000000002</v>
      </c>
      <c r="E6" s="9"/>
      <c r="F6" s="6">
        <v>13</v>
      </c>
      <c r="G6" s="6">
        <v>13</v>
      </c>
      <c r="H6" s="6">
        <v>28</v>
      </c>
      <c r="I6" s="6">
        <v>0</v>
      </c>
    </row>
    <row r="7" spans="1:13" x14ac:dyDescent="0.35">
      <c r="A7" s="8">
        <v>4</v>
      </c>
      <c r="B7" s="9">
        <v>0.21518999999999999</v>
      </c>
      <c r="C7" s="9">
        <v>0.73912999999999995</v>
      </c>
      <c r="D7" s="9">
        <v>0.33333000000000002</v>
      </c>
      <c r="E7" s="9"/>
      <c r="F7" s="6">
        <v>23</v>
      </c>
      <c r="G7" s="6">
        <v>17</v>
      </c>
      <c r="H7" s="6">
        <v>62</v>
      </c>
      <c r="I7" s="6">
        <v>6</v>
      </c>
    </row>
    <row r="8" spans="1:13" x14ac:dyDescent="0.35">
      <c r="A8" s="8">
        <v>5</v>
      </c>
      <c r="B8" s="9">
        <v>0.39394000000000001</v>
      </c>
      <c r="C8" s="9">
        <v>1</v>
      </c>
      <c r="D8" s="9">
        <v>0.56521999999999994</v>
      </c>
      <c r="E8" s="9"/>
      <c r="F8" s="6">
        <v>13</v>
      </c>
      <c r="G8" s="6">
        <v>13</v>
      </c>
      <c r="H8" s="6">
        <v>20</v>
      </c>
      <c r="I8" s="6">
        <v>0</v>
      </c>
    </row>
    <row r="9" spans="1:13" x14ac:dyDescent="0.35">
      <c r="A9" s="8">
        <v>6</v>
      </c>
      <c r="B9" s="9">
        <v>0.88888999999999996</v>
      </c>
      <c r="C9" s="9">
        <v>1</v>
      </c>
      <c r="D9" s="9">
        <v>0.94118000000000002</v>
      </c>
      <c r="E9" s="9"/>
      <c r="F9" s="6">
        <v>16</v>
      </c>
      <c r="G9" s="6">
        <v>16</v>
      </c>
      <c r="H9" s="6">
        <v>2</v>
      </c>
      <c r="I9" s="6">
        <v>0</v>
      </c>
    </row>
    <row r="10" spans="1:13" x14ac:dyDescent="0.35">
      <c r="A10" s="8">
        <v>7</v>
      </c>
      <c r="B10" s="9">
        <v>0.14000000000000001</v>
      </c>
      <c r="C10" s="9">
        <v>1</v>
      </c>
      <c r="D10" s="9">
        <v>0.24560999999999999</v>
      </c>
      <c r="E10" s="9"/>
      <c r="F10" s="6">
        <v>7</v>
      </c>
      <c r="G10" s="6">
        <v>7</v>
      </c>
      <c r="H10" s="6">
        <v>43</v>
      </c>
      <c r="I10" s="6">
        <v>0</v>
      </c>
    </row>
    <row r="11" spans="1:13" x14ac:dyDescent="0.35">
      <c r="A11" s="8">
        <v>8</v>
      </c>
      <c r="B11" s="9">
        <v>0.99378</v>
      </c>
      <c r="C11" s="9">
        <v>0.77908999999999995</v>
      </c>
      <c r="D11" s="9">
        <v>0.87343999999999999</v>
      </c>
      <c r="E11" s="9"/>
      <c r="F11" s="6">
        <v>1435</v>
      </c>
      <c r="G11" s="6">
        <v>1118</v>
      </c>
      <c r="H11" s="6">
        <v>7</v>
      </c>
      <c r="I11" s="6">
        <v>317</v>
      </c>
    </row>
    <row r="12" spans="1:13" x14ac:dyDescent="0.35">
      <c r="A12" s="4" t="s">
        <v>16</v>
      </c>
      <c r="B12" s="9">
        <v>0.34232000000000001</v>
      </c>
      <c r="C12" s="9">
        <v>0.95930000000000004</v>
      </c>
      <c r="D12" s="9">
        <v>0.50458999999999998</v>
      </c>
      <c r="E12" s="9"/>
      <c r="G12" s="6">
        <v>165</v>
      </c>
      <c r="H12" s="6">
        <v>317</v>
      </c>
      <c r="I12" s="6">
        <v>7</v>
      </c>
      <c r="J12" s="6">
        <v>1118</v>
      </c>
      <c r="K12" s="9">
        <v>0.79837999999999998</v>
      </c>
    </row>
    <row r="15" spans="1:13" x14ac:dyDescent="0.35">
      <c r="A15" s="5" t="s">
        <v>226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CC80-AF17-464E-9F7A-32E8A348D5DC}">
  <dimension ref="A1:M12"/>
  <sheetViews>
    <sheetView workbookViewId="0">
      <selection activeCell="E16" sqref="E16"/>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0.76951000000000003</v>
      </c>
      <c r="C2" s="9">
        <v>0.77236000000000005</v>
      </c>
      <c r="D2" s="9">
        <v>0.53727000000000003</v>
      </c>
      <c r="E2" s="9">
        <v>0.77093999999999996</v>
      </c>
      <c r="F2" s="6">
        <v>1607</v>
      </c>
      <c r="G2" s="7"/>
      <c r="H2" s="7"/>
      <c r="I2" s="7"/>
      <c r="J2" s="7"/>
      <c r="K2" s="9">
        <v>0.76539999999999997</v>
      </c>
      <c r="L2" s="6">
        <v>0</v>
      </c>
      <c r="M2" s="6">
        <v>0</v>
      </c>
    </row>
    <row r="3" spans="1:13" x14ac:dyDescent="0.35">
      <c r="A3" s="8">
        <v>0</v>
      </c>
      <c r="B3" s="9">
        <v>0.34043000000000001</v>
      </c>
      <c r="C3" s="9">
        <v>0.84211000000000003</v>
      </c>
      <c r="D3" s="9">
        <v>0.48485</v>
      </c>
      <c r="E3" s="9"/>
      <c r="F3" s="6">
        <v>38</v>
      </c>
      <c r="G3" s="6">
        <v>32</v>
      </c>
      <c r="H3" s="6">
        <v>62</v>
      </c>
      <c r="I3" s="6">
        <v>6</v>
      </c>
    </row>
    <row r="4" spans="1:13" x14ac:dyDescent="0.35">
      <c r="A4" s="8">
        <v>1</v>
      </c>
      <c r="B4" s="9">
        <v>0.40426000000000001</v>
      </c>
      <c r="C4" s="9">
        <v>1</v>
      </c>
      <c r="D4" s="9">
        <v>0.57576000000000005</v>
      </c>
      <c r="E4" s="9"/>
      <c r="F4" s="6">
        <v>38</v>
      </c>
      <c r="G4" s="6">
        <v>38</v>
      </c>
      <c r="H4" s="6">
        <v>56</v>
      </c>
      <c r="I4" s="6">
        <v>0</v>
      </c>
    </row>
    <row r="5" spans="1:13" x14ac:dyDescent="0.35">
      <c r="A5" s="8">
        <v>2</v>
      </c>
      <c r="B5" s="9">
        <v>0.45613999999999999</v>
      </c>
      <c r="C5" s="9">
        <v>0.68420999999999998</v>
      </c>
      <c r="D5" s="9">
        <v>0.54737000000000002</v>
      </c>
      <c r="E5" s="9"/>
      <c r="F5" s="6">
        <v>38</v>
      </c>
      <c r="G5" s="6">
        <v>26</v>
      </c>
      <c r="H5" s="6">
        <v>31</v>
      </c>
      <c r="I5" s="6">
        <v>12</v>
      </c>
    </row>
    <row r="6" spans="1:13" x14ac:dyDescent="0.35">
      <c r="A6" s="8">
        <v>3</v>
      </c>
      <c r="B6" s="9">
        <v>0.16250000000000001</v>
      </c>
      <c r="C6" s="9">
        <v>1</v>
      </c>
      <c r="D6" s="9">
        <v>0.27956999999999999</v>
      </c>
      <c r="E6" s="9"/>
      <c r="F6" s="6">
        <v>13</v>
      </c>
      <c r="G6" s="6">
        <v>13</v>
      </c>
      <c r="H6" s="6">
        <v>67</v>
      </c>
      <c r="I6" s="6">
        <v>0</v>
      </c>
    </row>
    <row r="7" spans="1:13" x14ac:dyDescent="0.35">
      <c r="A7" s="8">
        <v>4</v>
      </c>
      <c r="B7" s="9">
        <v>0.23457</v>
      </c>
      <c r="C7" s="9">
        <v>0.82608999999999999</v>
      </c>
      <c r="D7" s="9">
        <v>0.36537999999999998</v>
      </c>
      <c r="E7" s="9"/>
      <c r="F7" s="6">
        <v>23</v>
      </c>
      <c r="G7" s="6">
        <v>19</v>
      </c>
      <c r="H7" s="6">
        <v>62</v>
      </c>
      <c r="I7" s="6">
        <v>4</v>
      </c>
    </row>
    <row r="8" spans="1:13" x14ac:dyDescent="0.35">
      <c r="A8" s="8">
        <v>5</v>
      </c>
      <c r="B8" s="9">
        <v>0.59091000000000005</v>
      </c>
      <c r="C8" s="9">
        <v>1</v>
      </c>
      <c r="D8" s="9">
        <v>0.74285999999999996</v>
      </c>
      <c r="E8" s="9"/>
      <c r="F8" s="6">
        <v>13</v>
      </c>
      <c r="G8" s="6">
        <v>13</v>
      </c>
      <c r="H8" s="6">
        <v>9</v>
      </c>
      <c r="I8" s="6">
        <v>0</v>
      </c>
    </row>
    <row r="9" spans="1:13" x14ac:dyDescent="0.35">
      <c r="A9" s="8">
        <v>6</v>
      </c>
      <c r="B9" s="9">
        <v>0.69564999999999999</v>
      </c>
      <c r="C9" s="9">
        <v>1</v>
      </c>
      <c r="D9" s="9">
        <v>0.82050999999999996</v>
      </c>
      <c r="E9" s="9"/>
      <c r="F9" s="6">
        <v>16</v>
      </c>
      <c r="G9" s="6">
        <v>16</v>
      </c>
      <c r="H9" s="6">
        <v>7</v>
      </c>
      <c r="I9" s="6">
        <v>0</v>
      </c>
    </row>
    <row r="10" spans="1:13" x14ac:dyDescent="0.35">
      <c r="A10" s="8">
        <v>7</v>
      </c>
      <c r="B10" s="9">
        <v>8.6419999999999997E-2</v>
      </c>
      <c r="C10" s="9">
        <v>1</v>
      </c>
      <c r="D10" s="9">
        <v>0.15909000000000001</v>
      </c>
      <c r="E10" s="9"/>
      <c r="F10" s="6">
        <v>7</v>
      </c>
      <c r="G10" s="6">
        <v>7</v>
      </c>
      <c r="H10" s="6">
        <v>74</v>
      </c>
      <c r="I10" s="6">
        <v>0</v>
      </c>
    </row>
    <row r="11" spans="1:13" x14ac:dyDescent="0.35">
      <c r="A11" s="8">
        <v>8</v>
      </c>
      <c r="B11" s="9">
        <v>0.99360999999999999</v>
      </c>
      <c r="C11" s="9">
        <v>0.75819000000000003</v>
      </c>
      <c r="D11" s="9">
        <v>0.86007999999999996</v>
      </c>
      <c r="E11" s="9"/>
      <c r="F11" s="6">
        <v>1435</v>
      </c>
      <c r="G11" s="6">
        <v>1088</v>
      </c>
      <c r="H11" s="6">
        <v>7</v>
      </c>
      <c r="I11" s="6">
        <v>347</v>
      </c>
    </row>
    <row r="12" spans="1:13" x14ac:dyDescent="0.35">
      <c r="A12" s="4" t="s">
        <v>16</v>
      </c>
      <c r="B12" s="9">
        <v>0.32227</v>
      </c>
      <c r="C12" s="9">
        <v>0.95930000000000004</v>
      </c>
      <c r="D12" s="9">
        <v>0.48246</v>
      </c>
      <c r="E12" s="9"/>
      <c r="G12" s="6">
        <v>165</v>
      </c>
      <c r="H12" s="6">
        <v>347</v>
      </c>
      <c r="I12" s="6">
        <v>7</v>
      </c>
      <c r="J12" s="6">
        <v>1088</v>
      </c>
      <c r="K12" s="9">
        <v>0.77971000000000001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8537A-AF4B-4910-9B2B-FBF163CC5302}">
  <dimension ref="A1:M12"/>
  <sheetViews>
    <sheetView workbookViewId="0">
      <selection activeCell="H19" sqref="H19"/>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0.63702000000000003</v>
      </c>
      <c r="C2" s="9">
        <v>0.65391999999999995</v>
      </c>
      <c r="D2" s="9">
        <v>0.43696000000000002</v>
      </c>
      <c r="E2" s="9">
        <v>0.64536000000000004</v>
      </c>
      <c r="F2" s="6">
        <v>1607</v>
      </c>
      <c r="G2" s="7"/>
      <c r="H2" s="7"/>
      <c r="I2" s="7"/>
      <c r="J2" s="7"/>
      <c r="K2" s="9">
        <v>0.63783000000000001</v>
      </c>
      <c r="L2" s="6">
        <v>0</v>
      </c>
      <c r="M2" s="6">
        <v>0</v>
      </c>
    </row>
    <row r="3" spans="1:13" x14ac:dyDescent="0.35">
      <c r="A3" s="8">
        <v>0</v>
      </c>
      <c r="B3" s="9">
        <v>0.17116999999999999</v>
      </c>
      <c r="C3" s="9">
        <v>1</v>
      </c>
      <c r="D3" s="9">
        <v>0.29231000000000001</v>
      </c>
      <c r="E3" s="9"/>
      <c r="F3" s="6">
        <v>38</v>
      </c>
      <c r="G3" s="6">
        <v>38</v>
      </c>
      <c r="H3" s="6">
        <v>184</v>
      </c>
      <c r="I3" s="6">
        <v>0</v>
      </c>
    </row>
    <row r="4" spans="1:13" x14ac:dyDescent="0.35">
      <c r="A4" s="8">
        <v>1</v>
      </c>
      <c r="B4" s="9">
        <v>0.35714000000000001</v>
      </c>
      <c r="C4" s="9">
        <v>0.78947000000000001</v>
      </c>
      <c r="D4" s="9">
        <v>0.49180000000000001</v>
      </c>
      <c r="E4" s="9"/>
      <c r="F4" s="6">
        <v>38</v>
      </c>
      <c r="G4" s="6">
        <v>30</v>
      </c>
      <c r="H4" s="6">
        <v>54</v>
      </c>
      <c r="I4" s="6">
        <v>8</v>
      </c>
    </row>
    <row r="5" spans="1:13" x14ac:dyDescent="0.35">
      <c r="A5" s="8">
        <v>2</v>
      </c>
      <c r="B5" s="9">
        <v>0.29293000000000002</v>
      </c>
      <c r="C5" s="9">
        <v>0.76315999999999995</v>
      </c>
      <c r="D5" s="9">
        <v>0.42336000000000001</v>
      </c>
      <c r="E5" s="9"/>
      <c r="F5" s="6">
        <v>38</v>
      </c>
      <c r="G5" s="6">
        <v>29</v>
      </c>
      <c r="H5" s="6">
        <v>70</v>
      </c>
      <c r="I5" s="6">
        <v>9</v>
      </c>
    </row>
    <row r="6" spans="1:13" x14ac:dyDescent="0.35">
      <c r="A6" s="8">
        <v>3</v>
      </c>
      <c r="B6" s="9">
        <v>0.125</v>
      </c>
      <c r="C6" s="9">
        <v>1</v>
      </c>
      <c r="D6" s="9">
        <v>0.22222</v>
      </c>
      <c r="E6" s="9"/>
      <c r="F6" s="6">
        <v>13</v>
      </c>
      <c r="G6" s="6">
        <v>13</v>
      </c>
      <c r="H6" s="6">
        <v>91</v>
      </c>
      <c r="I6" s="6">
        <v>0</v>
      </c>
    </row>
    <row r="7" spans="1:13" x14ac:dyDescent="0.35">
      <c r="A7" s="8">
        <v>4</v>
      </c>
      <c r="B7" s="9">
        <v>0.27272999999999997</v>
      </c>
      <c r="C7" s="9">
        <v>0.91303999999999996</v>
      </c>
      <c r="D7" s="9">
        <v>0.42</v>
      </c>
      <c r="E7" s="9"/>
      <c r="F7" s="6">
        <v>23</v>
      </c>
      <c r="G7" s="6">
        <v>21</v>
      </c>
      <c r="H7" s="6">
        <v>56</v>
      </c>
      <c r="I7" s="6">
        <v>2</v>
      </c>
    </row>
    <row r="8" spans="1:13" x14ac:dyDescent="0.35">
      <c r="A8" s="8">
        <v>5</v>
      </c>
      <c r="B8" s="9">
        <v>0.26</v>
      </c>
      <c r="C8" s="9">
        <v>1</v>
      </c>
      <c r="D8" s="9">
        <v>0.41270000000000001</v>
      </c>
      <c r="E8" s="9"/>
      <c r="F8" s="6">
        <v>13</v>
      </c>
      <c r="G8" s="6">
        <v>13</v>
      </c>
      <c r="H8" s="6">
        <v>37</v>
      </c>
      <c r="I8" s="6">
        <v>0</v>
      </c>
    </row>
    <row r="9" spans="1:13" x14ac:dyDescent="0.35">
      <c r="A9" s="8">
        <v>6</v>
      </c>
      <c r="B9" s="9">
        <v>0.64</v>
      </c>
      <c r="C9" s="9">
        <v>1</v>
      </c>
      <c r="D9" s="9">
        <v>0.78049000000000002</v>
      </c>
      <c r="E9" s="9"/>
      <c r="F9" s="6">
        <v>16</v>
      </c>
      <c r="G9" s="6">
        <v>16</v>
      </c>
      <c r="H9" s="6">
        <v>9</v>
      </c>
      <c r="I9" s="6">
        <v>0</v>
      </c>
    </row>
    <row r="10" spans="1:13" x14ac:dyDescent="0.35">
      <c r="A10" s="8">
        <v>7</v>
      </c>
      <c r="B10" s="9">
        <v>6.6040000000000001E-2</v>
      </c>
      <c r="C10" s="9">
        <v>1</v>
      </c>
      <c r="D10" s="9">
        <v>0.12389</v>
      </c>
      <c r="E10" s="9"/>
      <c r="F10" s="6">
        <v>7</v>
      </c>
      <c r="G10" s="6">
        <v>7</v>
      </c>
      <c r="H10" s="6">
        <v>99</v>
      </c>
      <c r="I10" s="6">
        <v>0</v>
      </c>
    </row>
    <row r="11" spans="1:13" x14ac:dyDescent="0.35">
      <c r="A11" s="8">
        <v>8</v>
      </c>
      <c r="B11" s="9">
        <v>0.99553999999999998</v>
      </c>
      <c r="C11" s="9">
        <v>0.62229999999999996</v>
      </c>
      <c r="D11" s="9">
        <v>0.76587000000000005</v>
      </c>
      <c r="E11" s="9"/>
      <c r="F11" s="6">
        <v>1435</v>
      </c>
      <c r="G11" s="6">
        <v>893</v>
      </c>
      <c r="H11" s="6">
        <v>4</v>
      </c>
      <c r="I11" s="6">
        <v>542</v>
      </c>
    </row>
    <row r="12" spans="1:13" x14ac:dyDescent="0.35">
      <c r="A12" s="4" t="s">
        <v>16</v>
      </c>
      <c r="B12" s="9">
        <v>0.23662</v>
      </c>
      <c r="C12" s="9">
        <v>0.97674000000000005</v>
      </c>
      <c r="D12" s="9">
        <v>0.38095000000000001</v>
      </c>
      <c r="E12" s="9"/>
      <c r="G12" s="6">
        <v>168</v>
      </c>
      <c r="H12" s="6">
        <v>542</v>
      </c>
      <c r="I12" s="6">
        <v>4</v>
      </c>
      <c r="J12" s="6">
        <v>893</v>
      </c>
      <c r="K12" s="9">
        <v>0.66024000000000005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E3DA-5168-4422-BA84-BBE9BAA8D2AA}">
  <dimension ref="A1:M12"/>
  <sheetViews>
    <sheetView workbookViewId="0">
      <selection activeCell="AA34" sqref="AA34"/>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0.64770000000000005</v>
      </c>
      <c r="C2" s="9">
        <v>0.66008999999999995</v>
      </c>
      <c r="D2" s="9">
        <v>0.45805000000000001</v>
      </c>
      <c r="E2" s="9">
        <v>0.65383000000000002</v>
      </c>
      <c r="F2" s="6">
        <v>1607</v>
      </c>
      <c r="G2" s="7"/>
      <c r="H2" s="7"/>
      <c r="I2" s="7"/>
      <c r="J2" s="7"/>
      <c r="K2" s="9">
        <v>0.64717000000000002</v>
      </c>
      <c r="L2" s="6">
        <v>0</v>
      </c>
      <c r="M2" s="6">
        <v>0</v>
      </c>
    </row>
    <row r="3" spans="1:13" x14ac:dyDescent="0.35">
      <c r="A3" s="8">
        <v>0</v>
      </c>
      <c r="B3" s="9">
        <v>0.15261</v>
      </c>
      <c r="C3" s="9">
        <v>1</v>
      </c>
      <c r="D3" s="9">
        <v>0.26480999999999999</v>
      </c>
      <c r="E3" s="9"/>
      <c r="F3" s="6">
        <v>38</v>
      </c>
      <c r="G3" s="6">
        <v>38</v>
      </c>
      <c r="H3" s="6">
        <v>211</v>
      </c>
      <c r="I3" s="6">
        <v>0</v>
      </c>
    </row>
    <row r="4" spans="1:13" x14ac:dyDescent="0.35">
      <c r="A4" s="8">
        <v>1</v>
      </c>
      <c r="B4" s="9">
        <v>0.54347999999999996</v>
      </c>
      <c r="C4" s="9">
        <v>0.65788999999999997</v>
      </c>
      <c r="D4" s="9">
        <v>0.59523999999999999</v>
      </c>
      <c r="E4" s="9"/>
      <c r="F4" s="6">
        <v>38</v>
      </c>
      <c r="G4" s="6">
        <v>25</v>
      </c>
      <c r="H4" s="6">
        <v>21</v>
      </c>
      <c r="I4" s="6">
        <v>13</v>
      </c>
    </row>
    <row r="5" spans="1:13" x14ac:dyDescent="0.35">
      <c r="A5" s="8">
        <v>2</v>
      </c>
      <c r="B5" s="9">
        <v>0.33695999999999998</v>
      </c>
      <c r="C5" s="9">
        <v>0.81579000000000002</v>
      </c>
      <c r="D5" s="9">
        <v>0.47692000000000001</v>
      </c>
      <c r="E5" s="9"/>
      <c r="F5" s="6">
        <v>38</v>
      </c>
      <c r="G5" s="6">
        <v>31</v>
      </c>
      <c r="H5" s="6">
        <v>61</v>
      </c>
      <c r="I5" s="6">
        <v>7</v>
      </c>
    </row>
    <row r="6" spans="1:13" x14ac:dyDescent="0.35">
      <c r="A6" s="8">
        <v>3</v>
      </c>
      <c r="B6" s="9">
        <v>0.16883000000000001</v>
      </c>
      <c r="C6" s="9">
        <v>1</v>
      </c>
      <c r="D6" s="9">
        <v>0.28888999999999998</v>
      </c>
      <c r="E6" s="9"/>
      <c r="F6" s="6">
        <v>13</v>
      </c>
      <c r="G6" s="6">
        <v>13</v>
      </c>
      <c r="H6" s="6">
        <v>64</v>
      </c>
      <c r="I6" s="6">
        <v>0</v>
      </c>
    </row>
    <row r="7" spans="1:13" x14ac:dyDescent="0.35">
      <c r="A7" s="8">
        <v>4</v>
      </c>
      <c r="B7" s="9">
        <v>0.3</v>
      </c>
      <c r="C7" s="9">
        <v>0.91303999999999996</v>
      </c>
      <c r="D7" s="9">
        <v>0.45161000000000001</v>
      </c>
      <c r="E7" s="9"/>
      <c r="F7" s="6">
        <v>23</v>
      </c>
      <c r="G7" s="6">
        <v>21</v>
      </c>
      <c r="H7" s="6">
        <v>49</v>
      </c>
      <c r="I7" s="6">
        <v>2</v>
      </c>
    </row>
    <row r="8" spans="1:13" x14ac:dyDescent="0.35">
      <c r="A8" s="8">
        <v>5</v>
      </c>
      <c r="B8" s="9">
        <v>0.30232999999999999</v>
      </c>
      <c r="C8" s="9">
        <v>1</v>
      </c>
      <c r="D8" s="9">
        <v>0.46428999999999998</v>
      </c>
      <c r="E8" s="9"/>
      <c r="F8" s="6">
        <v>13</v>
      </c>
      <c r="G8" s="6">
        <v>13</v>
      </c>
      <c r="H8" s="6">
        <v>30</v>
      </c>
      <c r="I8" s="6">
        <v>0</v>
      </c>
    </row>
    <row r="9" spans="1:13" x14ac:dyDescent="0.35">
      <c r="A9" s="8">
        <v>6</v>
      </c>
      <c r="B9" s="9">
        <v>0.55171999999999999</v>
      </c>
      <c r="C9" s="9">
        <v>1</v>
      </c>
      <c r="D9" s="9">
        <v>0.71111000000000002</v>
      </c>
      <c r="E9" s="9"/>
      <c r="F9" s="6">
        <v>16</v>
      </c>
      <c r="G9" s="6">
        <v>16</v>
      </c>
      <c r="H9" s="6">
        <v>13</v>
      </c>
      <c r="I9" s="6">
        <v>0</v>
      </c>
    </row>
    <row r="10" spans="1:13" x14ac:dyDescent="0.35">
      <c r="A10" s="8">
        <v>7</v>
      </c>
      <c r="B10" s="9">
        <v>5.0360000000000002E-2</v>
      </c>
      <c r="C10" s="9">
        <v>1</v>
      </c>
      <c r="D10" s="9">
        <v>9.5890000000000003E-2</v>
      </c>
      <c r="E10" s="9"/>
      <c r="F10" s="6">
        <v>7</v>
      </c>
      <c r="G10" s="6">
        <v>7</v>
      </c>
      <c r="H10" s="6">
        <v>132</v>
      </c>
      <c r="I10" s="6">
        <v>0</v>
      </c>
    </row>
    <row r="11" spans="1:13" x14ac:dyDescent="0.35">
      <c r="A11" s="8">
        <v>8</v>
      </c>
      <c r="B11" s="9">
        <v>0.99890000000000001</v>
      </c>
      <c r="C11" s="9">
        <v>0.63136000000000003</v>
      </c>
      <c r="D11" s="9">
        <v>0.77370000000000005</v>
      </c>
      <c r="E11" s="9"/>
      <c r="F11" s="6">
        <v>1435</v>
      </c>
      <c r="G11" s="6">
        <v>906</v>
      </c>
      <c r="H11" s="6">
        <v>1</v>
      </c>
      <c r="I11" s="6">
        <v>529</v>
      </c>
    </row>
    <row r="12" spans="1:13" x14ac:dyDescent="0.35">
      <c r="A12" s="4" t="s">
        <v>16</v>
      </c>
      <c r="B12" s="9">
        <v>0.24429000000000001</v>
      </c>
      <c r="C12" s="9">
        <v>0.99419000000000002</v>
      </c>
      <c r="D12" s="9">
        <v>0.39219999999999999</v>
      </c>
      <c r="E12" s="9"/>
      <c r="G12" s="6">
        <v>171</v>
      </c>
      <c r="H12" s="6">
        <v>529</v>
      </c>
      <c r="I12" s="6">
        <v>1</v>
      </c>
      <c r="J12" s="6">
        <v>906</v>
      </c>
      <c r="K12" s="9">
        <v>0.67018999999999995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AC5BC-0312-4D13-A2F2-4D0010E39A5C}">
  <dimension ref="A1:M12"/>
  <sheetViews>
    <sheetView workbookViewId="0">
      <selection activeCell="C46" sqref="C46"/>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0.88749999999999996</v>
      </c>
      <c r="C2" s="9">
        <v>0.876</v>
      </c>
      <c r="D2" s="9">
        <v>0.70030000000000003</v>
      </c>
      <c r="E2" s="9">
        <v>0.88170999999999999</v>
      </c>
      <c r="F2" s="6">
        <v>1607</v>
      </c>
      <c r="G2" s="7"/>
      <c r="H2" s="7"/>
      <c r="I2" s="7"/>
      <c r="J2" s="7"/>
      <c r="K2" s="9">
        <v>0.86745000000000005</v>
      </c>
      <c r="L2" s="6">
        <v>33</v>
      </c>
      <c r="M2" s="6">
        <v>2.0539999999999999E-2</v>
      </c>
    </row>
    <row r="3" spans="1:13" x14ac:dyDescent="0.35">
      <c r="A3" s="8">
        <v>0</v>
      </c>
      <c r="B3" s="9">
        <v>0.38462000000000002</v>
      </c>
      <c r="C3" s="9">
        <v>0.92105000000000004</v>
      </c>
      <c r="D3" s="9">
        <v>0.54264000000000001</v>
      </c>
      <c r="E3" s="9"/>
      <c r="F3" s="6">
        <v>38</v>
      </c>
      <c r="G3" s="6">
        <v>35</v>
      </c>
      <c r="H3" s="6">
        <v>56</v>
      </c>
      <c r="I3" s="6">
        <v>3</v>
      </c>
    </row>
    <row r="4" spans="1:13" x14ac:dyDescent="0.35">
      <c r="A4" s="8">
        <v>1</v>
      </c>
      <c r="B4" s="9">
        <v>0.64583000000000002</v>
      </c>
      <c r="C4" s="9">
        <v>0.81579000000000002</v>
      </c>
      <c r="D4" s="9">
        <v>0.72092999999999996</v>
      </c>
      <c r="E4" s="9"/>
      <c r="F4" s="6">
        <v>38</v>
      </c>
      <c r="G4" s="6">
        <v>31</v>
      </c>
      <c r="H4" s="6">
        <v>17</v>
      </c>
      <c r="I4" s="6">
        <v>7</v>
      </c>
    </row>
    <row r="5" spans="1:13" x14ac:dyDescent="0.35">
      <c r="A5" s="8">
        <v>2</v>
      </c>
      <c r="B5" s="9">
        <v>0.47143000000000002</v>
      </c>
      <c r="C5" s="9">
        <v>0.86841999999999997</v>
      </c>
      <c r="D5" s="9">
        <v>0.61111000000000004</v>
      </c>
      <c r="E5" s="9"/>
      <c r="F5" s="6">
        <v>38</v>
      </c>
      <c r="G5" s="6">
        <v>33</v>
      </c>
      <c r="H5" s="6">
        <v>37</v>
      </c>
      <c r="I5" s="6">
        <v>5</v>
      </c>
    </row>
    <row r="6" spans="1:13" x14ac:dyDescent="0.35">
      <c r="A6" s="8">
        <v>3</v>
      </c>
      <c r="B6" s="9">
        <v>0.46428999999999998</v>
      </c>
      <c r="C6" s="9">
        <v>1</v>
      </c>
      <c r="D6" s="9">
        <v>0.63414999999999999</v>
      </c>
      <c r="E6" s="9"/>
      <c r="F6" s="6">
        <v>13</v>
      </c>
      <c r="G6" s="6">
        <v>13</v>
      </c>
      <c r="H6" s="6">
        <v>15</v>
      </c>
      <c r="I6" s="6">
        <v>0</v>
      </c>
    </row>
    <row r="7" spans="1:13" x14ac:dyDescent="0.35">
      <c r="A7" s="8">
        <v>4</v>
      </c>
      <c r="B7" s="9">
        <v>0.46666999999999997</v>
      </c>
      <c r="C7" s="9">
        <v>0.91303999999999996</v>
      </c>
      <c r="D7" s="9">
        <v>0.61765000000000003</v>
      </c>
      <c r="E7" s="9"/>
      <c r="F7" s="6">
        <v>23</v>
      </c>
      <c r="G7" s="6">
        <v>21</v>
      </c>
      <c r="H7" s="6">
        <v>24</v>
      </c>
      <c r="I7" s="6">
        <v>2</v>
      </c>
    </row>
    <row r="8" spans="1:13" x14ac:dyDescent="0.35">
      <c r="A8" s="8">
        <v>5</v>
      </c>
      <c r="B8" s="9">
        <v>0.92308000000000001</v>
      </c>
      <c r="C8" s="9">
        <v>0.92308000000000001</v>
      </c>
      <c r="D8" s="9">
        <v>0.92308000000000001</v>
      </c>
      <c r="E8" s="9"/>
      <c r="F8" s="6">
        <v>13</v>
      </c>
      <c r="G8" s="6">
        <v>12</v>
      </c>
      <c r="H8" s="6">
        <v>1</v>
      </c>
      <c r="I8" s="6">
        <v>1</v>
      </c>
    </row>
    <row r="9" spans="1:13" x14ac:dyDescent="0.35">
      <c r="A9" s="8">
        <v>6</v>
      </c>
      <c r="B9" s="9">
        <v>1</v>
      </c>
      <c r="C9" s="9">
        <v>0.9375</v>
      </c>
      <c r="D9" s="9">
        <v>0.96774000000000004</v>
      </c>
      <c r="E9" s="9"/>
      <c r="F9" s="6">
        <v>16</v>
      </c>
      <c r="G9" s="6">
        <v>15</v>
      </c>
      <c r="H9" s="6">
        <v>0</v>
      </c>
      <c r="I9" s="6">
        <v>1</v>
      </c>
    </row>
    <row r="10" spans="1:13" x14ac:dyDescent="0.35">
      <c r="A10" s="8">
        <v>7</v>
      </c>
      <c r="B10" s="9">
        <v>0.23810000000000001</v>
      </c>
      <c r="C10" s="9">
        <v>0.71428999999999998</v>
      </c>
      <c r="D10" s="9">
        <v>0.35714000000000001</v>
      </c>
      <c r="E10" s="9"/>
      <c r="F10" s="6">
        <v>7</v>
      </c>
      <c r="G10" s="6">
        <v>5</v>
      </c>
      <c r="H10" s="6">
        <v>16</v>
      </c>
      <c r="I10" s="6">
        <v>2</v>
      </c>
    </row>
    <row r="11" spans="1:13" x14ac:dyDescent="0.35">
      <c r="A11" s="8">
        <v>8</v>
      </c>
      <c r="B11" s="9">
        <v>0.98897000000000002</v>
      </c>
      <c r="C11" s="9">
        <v>0.87456</v>
      </c>
      <c r="D11" s="9">
        <v>0.92825000000000002</v>
      </c>
      <c r="E11" s="9"/>
      <c r="F11" s="6">
        <v>1435</v>
      </c>
      <c r="G11" s="6">
        <v>1255</v>
      </c>
      <c r="H11" s="6">
        <v>14</v>
      </c>
      <c r="I11" s="6">
        <v>180</v>
      </c>
    </row>
    <row r="12" spans="1:13" x14ac:dyDescent="0.35">
      <c r="A12" s="4" t="s">
        <v>16</v>
      </c>
      <c r="B12" s="9">
        <v>0.51802999999999999</v>
      </c>
      <c r="C12" s="9">
        <v>0.91859999999999997</v>
      </c>
      <c r="D12" s="9">
        <v>0.66247</v>
      </c>
      <c r="E12" s="9"/>
      <c r="G12" s="6">
        <v>158</v>
      </c>
      <c r="H12" s="6">
        <v>147</v>
      </c>
      <c r="I12" s="6">
        <v>14</v>
      </c>
      <c r="J12" s="6">
        <v>1288</v>
      </c>
      <c r="K12" s="9">
        <v>0.89981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6588D-242F-404B-89EA-32A054125D64}">
  <dimension ref="A1:M12"/>
  <sheetViews>
    <sheetView workbookViewId="0">
      <selection activeCell="B11" sqref="B11"/>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0.21032999999999999</v>
      </c>
      <c r="C2" s="9">
        <v>0.10549</v>
      </c>
      <c r="D2" s="9">
        <v>0.35659999999999997</v>
      </c>
      <c r="E2" s="9">
        <v>0.14051</v>
      </c>
      <c r="F2" s="6">
        <v>1607</v>
      </c>
      <c r="G2" s="7"/>
      <c r="H2" s="7"/>
      <c r="I2" s="7"/>
      <c r="J2" s="7"/>
      <c r="K2" s="9">
        <v>8.8359999999999994E-2</v>
      </c>
      <c r="L2" s="6">
        <v>825</v>
      </c>
      <c r="M2" s="6">
        <v>0.51337999999999995</v>
      </c>
    </row>
    <row r="3" spans="1:13" x14ac:dyDescent="0.35">
      <c r="A3" s="8">
        <v>0</v>
      </c>
      <c r="B3" s="9">
        <v>0.21384</v>
      </c>
      <c r="C3" s="9">
        <v>0.89473999999999998</v>
      </c>
      <c r="D3" s="9">
        <v>0.34517999999999999</v>
      </c>
      <c r="E3" s="9"/>
      <c r="F3" s="6">
        <v>38</v>
      </c>
      <c r="G3" s="6">
        <v>34</v>
      </c>
      <c r="H3" s="6">
        <v>125</v>
      </c>
      <c r="I3" s="6">
        <v>4</v>
      </c>
    </row>
    <row r="4" spans="1:13" x14ac:dyDescent="0.35">
      <c r="A4" s="8">
        <v>1</v>
      </c>
      <c r="B4" s="9">
        <v>0.22561</v>
      </c>
      <c r="C4" s="9">
        <v>0.97367999999999999</v>
      </c>
      <c r="D4" s="9">
        <v>0.36634</v>
      </c>
      <c r="E4" s="9"/>
      <c r="F4" s="6">
        <v>38</v>
      </c>
      <c r="G4" s="6">
        <v>37</v>
      </c>
      <c r="H4" s="6">
        <v>127</v>
      </c>
      <c r="I4" s="6">
        <v>1</v>
      </c>
    </row>
    <row r="5" spans="1:13" x14ac:dyDescent="0.35">
      <c r="A5" s="8">
        <v>2</v>
      </c>
      <c r="B5" s="9">
        <v>0.29411999999999999</v>
      </c>
      <c r="C5" s="9">
        <v>0.78947000000000001</v>
      </c>
      <c r="D5" s="9">
        <v>0.42857000000000001</v>
      </c>
      <c r="E5" s="9"/>
      <c r="F5" s="6">
        <v>38</v>
      </c>
      <c r="G5" s="6">
        <v>30</v>
      </c>
      <c r="H5" s="6">
        <v>72</v>
      </c>
      <c r="I5" s="6">
        <v>8</v>
      </c>
    </row>
    <row r="6" spans="1:13" x14ac:dyDescent="0.35">
      <c r="A6" s="8">
        <v>3</v>
      </c>
      <c r="B6" s="9">
        <v>0.15293999999999999</v>
      </c>
      <c r="C6" s="9">
        <v>1</v>
      </c>
      <c r="D6" s="9">
        <v>0.26530999999999999</v>
      </c>
      <c r="E6" s="9"/>
      <c r="F6" s="6">
        <v>13</v>
      </c>
      <c r="G6" s="6">
        <v>13</v>
      </c>
      <c r="H6" s="6">
        <v>72</v>
      </c>
      <c r="I6" s="6">
        <v>0</v>
      </c>
    </row>
    <row r="7" spans="1:13" x14ac:dyDescent="0.35">
      <c r="A7" s="8">
        <v>4</v>
      </c>
      <c r="B7" s="9">
        <v>0.23863999999999999</v>
      </c>
      <c r="C7" s="9">
        <v>0.91303999999999996</v>
      </c>
      <c r="D7" s="9">
        <v>0.37837999999999999</v>
      </c>
      <c r="E7" s="9"/>
      <c r="F7" s="6">
        <v>23</v>
      </c>
      <c r="G7" s="6">
        <v>21</v>
      </c>
      <c r="H7" s="6">
        <v>67</v>
      </c>
      <c r="I7" s="6">
        <v>2</v>
      </c>
    </row>
    <row r="8" spans="1:13" x14ac:dyDescent="0.35">
      <c r="A8" s="8">
        <v>5</v>
      </c>
      <c r="B8" s="9">
        <v>0.30952000000000002</v>
      </c>
      <c r="C8" s="9">
        <v>1</v>
      </c>
      <c r="D8" s="9">
        <v>0.47272999999999998</v>
      </c>
      <c r="E8" s="9"/>
      <c r="F8" s="6">
        <v>13</v>
      </c>
      <c r="G8" s="6">
        <v>13</v>
      </c>
      <c r="H8" s="6">
        <v>29</v>
      </c>
      <c r="I8" s="6">
        <v>0</v>
      </c>
    </row>
    <row r="9" spans="1:13" x14ac:dyDescent="0.35">
      <c r="A9" s="8">
        <v>6</v>
      </c>
      <c r="B9" s="9">
        <v>0.76190000000000002</v>
      </c>
      <c r="C9" s="9">
        <v>1</v>
      </c>
      <c r="D9" s="9">
        <v>0.86485999999999996</v>
      </c>
      <c r="E9" s="9"/>
      <c r="F9" s="6">
        <v>16</v>
      </c>
      <c r="G9" s="6">
        <v>16</v>
      </c>
      <c r="H9" s="6">
        <v>5</v>
      </c>
      <c r="I9" s="6">
        <v>0</v>
      </c>
    </row>
    <row r="10" spans="1:13" x14ac:dyDescent="0.35">
      <c r="A10" s="8">
        <v>7</v>
      </c>
      <c r="B10" s="9">
        <v>4.6050000000000001E-2</v>
      </c>
      <c r="C10" s="9">
        <v>1</v>
      </c>
      <c r="D10" s="9">
        <v>8.8050000000000003E-2</v>
      </c>
      <c r="E10" s="9"/>
      <c r="F10" s="6">
        <v>7</v>
      </c>
      <c r="G10" s="6">
        <v>7</v>
      </c>
      <c r="H10" s="6">
        <v>145</v>
      </c>
      <c r="I10" s="6">
        <v>0</v>
      </c>
    </row>
    <row r="11" spans="1:13" x14ac:dyDescent="0.35">
      <c r="A11" s="8">
        <v>8</v>
      </c>
      <c r="B11" s="9">
        <v>0</v>
      </c>
      <c r="C11" s="9">
        <v>0</v>
      </c>
      <c r="D11" s="9">
        <v>0</v>
      </c>
      <c r="E11" s="9"/>
      <c r="F11" s="6">
        <v>1435</v>
      </c>
      <c r="G11" s="6">
        <v>0</v>
      </c>
      <c r="H11" s="6">
        <v>0</v>
      </c>
      <c r="I11" s="6">
        <v>1435</v>
      </c>
    </row>
    <row r="12" spans="1:13" x14ac:dyDescent="0.35">
      <c r="A12" s="4" t="s">
        <v>16</v>
      </c>
      <c r="B12" s="9">
        <v>0.21867</v>
      </c>
      <c r="C12" s="9">
        <v>0.99419000000000002</v>
      </c>
      <c r="D12" s="9">
        <v>0.35848999999999998</v>
      </c>
      <c r="E12" s="9"/>
      <c r="G12" s="6">
        <v>171</v>
      </c>
      <c r="H12" s="6">
        <v>611</v>
      </c>
      <c r="I12" s="6">
        <v>1</v>
      </c>
      <c r="J12" s="6">
        <v>824</v>
      </c>
      <c r="K12" s="9">
        <v>0.61917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3F81-432E-4D0A-A6D2-F58894B1CEF9}">
  <dimension ref="A1:M12"/>
  <sheetViews>
    <sheetView workbookViewId="0">
      <selection activeCell="L29" sqref="L29"/>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0.91983000000000004</v>
      </c>
      <c r="C2" s="9">
        <v>0.92720999999999998</v>
      </c>
      <c r="D2" s="9">
        <v>0.73928000000000005</v>
      </c>
      <c r="E2" s="9">
        <v>0.92349999999999999</v>
      </c>
      <c r="F2" s="6">
        <v>1607</v>
      </c>
      <c r="G2" s="7"/>
      <c r="H2" s="7"/>
      <c r="I2" s="7"/>
      <c r="J2" s="7"/>
      <c r="K2" s="9">
        <v>0.91910000000000003</v>
      </c>
      <c r="L2" s="6">
        <v>0</v>
      </c>
      <c r="M2" s="6">
        <v>0</v>
      </c>
    </row>
    <row r="3" spans="1:13" x14ac:dyDescent="0.35">
      <c r="A3" s="8">
        <v>0</v>
      </c>
      <c r="B3" s="9">
        <v>0.47541</v>
      </c>
      <c r="C3" s="9">
        <v>0.76315999999999995</v>
      </c>
      <c r="D3" s="9">
        <v>0.58586000000000005</v>
      </c>
      <c r="E3" s="9"/>
      <c r="F3" s="6">
        <v>38</v>
      </c>
      <c r="G3" s="6">
        <v>29</v>
      </c>
      <c r="H3" s="6">
        <v>32</v>
      </c>
      <c r="I3" s="6">
        <v>9</v>
      </c>
    </row>
    <row r="4" spans="1:13" x14ac:dyDescent="0.35">
      <c r="A4" s="8">
        <v>1</v>
      </c>
      <c r="B4" s="9">
        <v>0.65454999999999997</v>
      </c>
      <c r="C4" s="9">
        <v>0.94737000000000005</v>
      </c>
      <c r="D4" s="9">
        <v>0.77419000000000004</v>
      </c>
      <c r="E4" s="9"/>
      <c r="F4" s="6">
        <v>38</v>
      </c>
      <c r="G4" s="6">
        <v>36</v>
      </c>
      <c r="H4" s="6">
        <v>19</v>
      </c>
      <c r="I4" s="6">
        <v>2</v>
      </c>
    </row>
    <row r="5" spans="1:13" x14ac:dyDescent="0.35">
      <c r="A5" s="8">
        <v>2</v>
      </c>
      <c r="B5" s="9">
        <v>0.54386000000000001</v>
      </c>
      <c r="C5" s="9">
        <v>0.81579000000000002</v>
      </c>
      <c r="D5" s="9">
        <v>0.65263000000000004</v>
      </c>
      <c r="E5" s="9"/>
      <c r="F5" s="6">
        <v>38</v>
      </c>
      <c r="G5" s="6">
        <v>31</v>
      </c>
      <c r="H5" s="6">
        <v>26</v>
      </c>
      <c r="I5" s="6">
        <v>7</v>
      </c>
    </row>
    <row r="6" spans="1:13" x14ac:dyDescent="0.35">
      <c r="A6" s="8">
        <v>3</v>
      </c>
      <c r="B6" s="9">
        <v>0.54544999999999999</v>
      </c>
      <c r="C6" s="9">
        <v>0.92308000000000001</v>
      </c>
      <c r="D6" s="9">
        <v>0.68571000000000004</v>
      </c>
      <c r="E6" s="9"/>
      <c r="F6" s="6">
        <v>13</v>
      </c>
      <c r="G6" s="6">
        <v>12</v>
      </c>
      <c r="H6" s="6">
        <v>10</v>
      </c>
      <c r="I6" s="6">
        <v>1</v>
      </c>
    </row>
    <row r="7" spans="1:13" x14ac:dyDescent="0.35">
      <c r="A7" s="8">
        <v>4</v>
      </c>
      <c r="B7" s="9">
        <v>0.61765000000000003</v>
      </c>
      <c r="C7" s="9">
        <v>0.91303999999999996</v>
      </c>
      <c r="D7" s="9">
        <v>0.73684000000000005</v>
      </c>
      <c r="E7" s="9"/>
      <c r="F7" s="6">
        <v>23</v>
      </c>
      <c r="G7" s="6">
        <v>21</v>
      </c>
      <c r="H7" s="6">
        <v>13</v>
      </c>
      <c r="I7" s="6">
        <v>2</v>
      </c>
    </row>
    <row r="8" spans="1:13" x14ac:dyDescent="0.35">
      <c r="A8" s="8">
        <v>5</v>
      </c>
      <c r="B8" s="9">
        <v>0.85714000000000001</v>
      </c>
      <c r="C8" s="9">
        <v>0.92308000000000001</v>
      </c>
      <c r="D8" s="9">
        <v>0.88888999999999996</v>
      </c>
      <c r="E8" s="9"/>
      <c r="F8" s="6">
        <v>13</v>
      </c>
      <c r="G8" s="6">
        <v>12</v>
      </c>
      <c r="H8" s="6">
        <v>2</v>
      </c>
      <c r="I8" s="6">
        <v>1</v>
      </c>
    </row>
    <row r="9" spans="1:13" x14ac:dyDescent="0.35">
      <c r="A9" s="8">
        <v>6</v>
      </c>
      <c r="B9" s="9">
        <v>0.84211000000000003</v>
      </c>
      <c r="C9" s="9">
        <v>1</v>
      </c>
      <c r="D9" s="9">
        <v>0.91429000000000005</v>
      </c>
      <c r="E9" s="9"/>
      <c r="F9" s="6">
        <v>16</v>
      </c>
      <c r="G9" s="6">
        <v>16</v>
      </c>
      <c r="H9" s="6">
        <v>3</v>
      </c>
      <c r="I9" s="6">
        <v>0</v>
      </c>
    </row>
    <row r="10" spans="1:13" x14ac:dyDescent="0.35">
      <c r="A10" s="8">
        <v>7</v>
      </c>
      <c r="B10" s="9">
        <v>0.33333000000000002</v>
      </c>
      <c r="C10" s="9">
        <v>0.71428999999999998</v>
      </c>
      <c r="D10" s="9">
        <v>0.45455000000000001</v>
      </c>
      <c r="E10" s="9"/>
      <c r="F10" s="6">
        <v>7</v>
      </c>
      <c r="G10" s="6">
        <v>5</v>
      </c>
      <c r="H10" s="6">
        <v>10</v>
      </c>
      <c r="I10" s="6">
        <v>2</v>
      </c>
    </row>
    <row r="11" spans="1:13" x14ac:dyDescent="0.35">
      <c r="A11" s="8">
        <v>8</v>
      </c>
      <c r="B11" s="9">
        <v>0.98821000000000003</v>
      </c>
      <c r="C11" s="9">
        <v>0.93449000000000004</v>
      </c>
      <c r="D11" s="9">
        <v>0.96060000000000001</v>
      </c>
      <c r="E11" s="9"/>
      <c r="F11" s="6">
        <v>1435</v>
      </c>
      <c r="G11" s="6">
        <v>1341</v>
      </c>
      <c r="H11" s="6">
        <v>16</v>
      </c>
      <c r="I11" s="6">
        <v>94</v>
      </c>
    </row>
    <row r="12" spans="1:13" x14ac:dyDescent="0.35">
      <c r="A12" s="4" t="s">
        <v>16</v>
      </c>
      <c r="B12" s="9">
        <v>0.624</v>
      </c>
      <c r="C12" s="9">
        <v>0.90698000000000001</v>
      </c>
      <c r="D12" s="9">
        <v>0.73934</v>
      </c>
      <c r="E12" s="9"/>
      <c r="G12" s="6">
        <v>156</v>
      </c>
      <c r="H12" s="6">
        <v>94</v>
      </c>
      <c r="I12" s="6">
        <v>16</v>
      </c>
      <c r="J12" s="6">
        <v>1341</v>
      </c>
      <c r="K12" s="9">
        <v>0.93154999999999999</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074F-3527-4509-8706-0A65958A336B}">
  <dimension ref="A1:M12"/>
  <sheetViews>
    <sheetView workbookViewId="0">
      <selection activeCell="H44" sqref="H44"/>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0.87914999999999999</v>
      </c>
      <c r="C2" s="9">
        <v>0.89759</v>
      </c>
      <c r="D2" s="9">
        <v>0.68813999999999997</v>
      </c>
      <c r="E2" s="9">
        <v>0.88827999999999996</v>
      </c>
      <c r="F2" s="6">
        <v>1607</v>
      </c>
      <c r="G2" s="7"/>
      <c r="H2" s="7"/>
      <c r="I2" s="7"/>
      <c r="J2" s="7"/>
      <c r="K2" s="9">
        <v>0.88177000000000005</v>
      </c>
      <c r="L2" s="6">
        <v>0</v>
      </c>
      <c r="M2" s="6">
        <v>0</v>
      </c>
    </row>
    <row r="3" spans="1:13" x14ac:dyDescent="0.35">
      <c r="A3" s="8">
        <v>0</v>
      </c>
      <c r="B3" s="9">
        <v>0.36364000000000002</v>
      </c>
      <c r="C3" s="9">
        <v>0.84211000000000003</v>
      </c>
      <c r="D3" s="9">
        <v>0.50793999999999995</v>
      </c>
      <c r="E3" s="9"/>
      <c r="F3" s="6">
        <v>38</v>
      </c>
      <c r="G3" s="6">
        <v>32</v>
      </c>
      <c r="H3" s="6">
        <v>56</v>
      </c>
      <c r="I3" s="6">
        <v>6</v>
      </c>
    </row>
    <row r="4" spans="1:13" x14ac:dyDescent="0.35">
      <c r="A4" s="8">
        <v>1</v>
      </c>
      <c r="B4" s="9">
        <v>0.51515</v>
      </c>
      <c r="C4" s="9">
        <v>0.89473999999999998</v>
      </c>
      <c r="D4" s="9">
        <v>0.65385000000000004</v>
      </c>
      <c r="E4" s="9"/>
      <c r="F4" s="6">
        <v>38</v>
      </c>
      <c r="G4" s="6">
        <v>34</v>
      </c>
      <c r="H4" s="6">
        <v>32</v>
      </c>
      <c r="I4" s="6">
        <v>4</v>
      </c>
    </row>
    <row r="5" spans="1:13" x14ac:dyDescent="0.35">
      <c r="A5" s="8">
        <v>2</v>
      </c>
      <c r="B5" s="9">
        <v>0.41095999999999999</v>
      </c>
      <c r="C5" s="9">
        <v>0.78947000000000001</v>
      </c>
      <c r="D5" s="9">
        <v>0.54054000000000002</v>
      </c>
      <c r="E5" s="9"/>
      <c r="F5" s="6">
        <v>38</v>
      </c>
      <c r="G5" s="6">
        <v>30</v>
      </c>
      <c r="H5" s="6">
        <v>43</v>
      </c>
      <c r="I5" s="6">
        <v>8</v>
      </c>
    </row>
    <row r="6" spans="1:13" x14ac:dyDescent="0.35">
      <c r="A6" s="8">
        <v>3</v>
      </c>
      <c r="B6" s="9">
        <v>0.43332999999999999</v>
      </c>
      <c r="C6" s="9">
        <v>1</v>
      </c>
      <c r="D6" s="9">
        <v>0.60465000000000002</v>
      </c>
      <c r="E6" s="9"/>
      <c r="F6" s="6">
        <v>13</v>
      </c>
      <c r="G6" s="6">
        <v>13</v>
      </c>
      <c r="H6" s="6">
        <v>17</v>
      </c>
      <c r="I6" s="6">
        <v>0</v>
      </c>
    </row>
    <row r="7" spans="1:13" x14ac:dyDescent="0.35">
      <c r="A7" s="8">
        <v>4</v>
      </c>
      <c r="B7" s="9">
        <v>0.55556000000000005</v>
      </c>
      <c r="C7" s="9">
        <v>0.86956999999999995</v>
      </c>
      <c r="D7" s="9">
        <v>0.67796999999999996</v>
      </c>
      <c r="E7" s="9"/>
      <c r="F7" s="6">
        <v>23</v>
      </c>
      <c r="G7" s="6">
        <v>20</v>
      </c>
      <c r="H7" s="6">
        <v>16</v>
      </c>
      <c r="I7" s="6">
        <v>3</v>
      </c>
    </row>
    <row r="8" spans="1:13" x14ac:dyDescent="0.35">
      <c r="A8" s="8">
        <v>5</v>
      </c>
      <c r="B8" s="9">
        <v>0.92308000000000001</v>
      </c>
      <c r="C8" s="9">
        <v>0.92308000000000001</v>
      </c>
      <c r="D8" s="9">
        <v>0.92308000000000001</v>
      </c>
      <c r="E8" s="9"/>
      <c r="F8" s="6">
        <v>13</v>
      </c>
      <c r="G8" s="6">
        <v>12</v>
      </c>
      <c r="H8" s="6">
        <v>1</v>
      </c>
      <c r="I8" s="6">
        <v>1</v>
      </c>
    </row>
    <row r="9" spans="1:13" x14ac:dyDescent="0.35">
      <c r="A9" s="8">
        <v>6</v>
      </c>
      <c r="B9" s="9">
        <v>0.83333000000000002</v>
      </c>
      <c r="C9" s="9">
        <v>0.9375</v>
      </c>
      <c r="D9" s="9">
        <v>0.88234999999999997</v>
      </c>
      <c r="E9" s="9"/>
      <c r="F9" s="6">
        <v>16</v>
      </c>
      <c r="G9" s="6">
        <v>15</v>
      </c>
      <c r="H9" s="6">
        <v>3</v>
      </c>
      <c r="I9" s="6">
        <v>1</v>
      </c>
    </row>
    <row r="10" spans="1:13" x14ac:dyDescent="0.35">
      <c r="A10" s="8">
        <v>7</v>
      </c>
      <c r="B10" s="9">
        <v>0.31579000000000002</v>
      </c>
      <c r="C10" s="9">
        <v>0.85714000000000001</v>
      </c>
      <c r="D10" s="9">
        <v>0.46154000000000001</v>
      </c>
      <c r="E10" s="9"/>
      <c r="F10" s="6">
        <v>7</v>
      </c>
      <c r="G10" s="6">
        <v>6</v>
      </c>
      <c r="H10" s="6">
        <v>13</v>
      </c>
      <c r="I10" s="6">
        <v>1</v>
      </c>
    </row>
    <row r="11" spans="1:13" x14ac:dyDescent="0.35">
      <c r="A11" s="8">
        <v>8</v>
      </c>
      <c r="B11" s="9">
        <v>0.98551999999999995</v>
      </c>
      <c r="C11" s="9">
        <v>0.90105000000000002</v>
      </c>
      <c r="D11" s="9">
        <v>0.94138999999999995</v>
      </c>
      <c r="E11" s="9"/>
      <c r="F11" s="6">
        <v>1435</v>
      </c>
      <c r="G11" s="6">
        <v>1293</v>
      </c>
      <c r="H11" s="6">
        <v>19</v>
      </c>
      <c r="I11" s="6">
        <v>142</v>
      </c>
    </row>
    <row r="12" spans="1:13" x14ac:dyDescent="0.35">
      <c r="A12" s="4" t="s">
        <v>16</v>
      </c>
      <c r="B12" s="9">
        <v>0.51863999999999999</v>
      </c>
      <c r="C12" s="9">
        <v>0.88953000000000004</v>
      </c>
      <c r="D12" s="9">
        <v>0.65525</v>
      </c>
      <c r="E12" s="9"/>
      <c r="G12" s="6">
        <v>153</v>
      </c>
      <c r="H12" s="6">
        <v>142</v>
      </c>
      <c r="I12" s="6">
        <v>19</v>
      </c>
      <c r="J12" s="6">
        <v>1293</v>
      </c>
      <c r="K12" s="9">
        <v>0.89981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65395-6890-4EED-B187-67784B3F1F04}">
  <dimension ref="A1:M12"/>
  <sheetViews>
    <sheetView workbookViewId="0">
      <selection activeCell="AB34" sqref="AB34"/>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0.82147000000000003</v>
      </c>
      <c r="C2" s="9">
        <v>0.82603000000000004</v>
      </c>
      <c r="D2" s="9">
        <v>0.58579000000000003</v>
      </c>
      <c r="E2" s="9">
        <v>0.82374999999999998</v>
      </c>
      <c r="F2" s="6">
        <v>1607</v>
      </c>
      <c r="G2" s="7"/>
      <c r="H2" s="7"/>
      <c r="I2" s="7"/>
      <c r="J2" s="7"/>
      <c r="K2" s="9">
        <v>0.82077999999999995</v>
      </c>
      <c r="L2" s="6">
        <v>0</v>
      </c>
      <c r="M2" s="6">
        <v>0</v>
      </c>
    </row>
    <row r="3" spans="1:13" x14ac:dyDescent="0.35">
      <c r="A3" s="8">
        <v>0</v>
      </c>
      <c r="B3" s="9">
        <v>0.29907</v>
      </c>
      <c r="C3" s="9">
        <v>0.84211000000000003</v>
      </c>
      <c r="D3" s="9">
        <v>0.44137999999999999</v>
      </c>
      <c r="E3" s="9"/>
      <c r="F3" s="6">
        <v>38</v>
      </c>
      <c r="G3" s="6">
        <v>32</v>
      </c>
      <c r="H3" s="6">
        <v>75</v>
      </c>
      <c r="I3" s="6">
        <v>6</v>
      </c>
    </row>
    <row r="4" spans="1:13" x14ac:dyDescent="0.35">
      <c r="A4" s="8">
        <v>1</v>
      </c>
      <c r="B4" s="9">
        <v>0.39129999999999998</v>
      </c>
      <c r="C4" s="9">
        <v>0.94737000000000005</v>
      </c>
      <c r="D4" s="9">
        <v>0.55384999999999995</v>
      </c>
      <c r="E4" s="9"/>
      <c r="F4" s="6">
        <v>38</v>
      </c>
      <c r="G4" s="6">
        <v>36</v>
      </c>
      <c r="H4" s="6">
        <v>56</v>
      </c>
      <c r="I4" s="6">
        <v>2</v>
      </c>
    </row>
    <row r="5" spans="1:13" x14ac:dyDescent="0.35">
      <c r="A5" s="8">
        <v>2</v>
      </c>
      <c r="B5" s="9">
        <v>0.49091000000000001</v>
      </c>
      <c r="C5" s="9">
        <v>0.71052999999999999</v>
      </c>
      <c r="D5" s="9">
        <v>0.58065</v>
      </c>
      <c r="E5" s="9"/>
      <c r="F5" s="6">
        <v>38</v>
      </c>
      <c r="G5" s="6">
        <v>27</v>
      </c>
      <c r="H5" s="6">
        <v>28</v>
      </c>
      <c r="I5" s="6">
        <v>11</v>
      </c>
    </row>
    <row r="6" spans="1:13" x14ac:dyDescent="0.35">
      <c r="A6" s="8">
        <v>3</v>
      </c>
      <c r="B6" s="9">
        <v>0.27660000000000001</v>
      </c>
      <c r="C6" s="9">
        <v>1</v>
      </c>
      <c r="D6" s="9">
        <v>0.43332999999999999</v>
      </c>
      <c r="E6" s="9"/>
      <c r="F6" s="6">
        <v>13</v>
      </c>
      <c r="G6" s="6">
        <v>13</v>
      </c>
      <c r="H6" s="6">
        <v>34</v>
      </c>
      <c r="I6" s="6">
        <v>0</v>
      </c>
    </row>
    <row r="7" spans="1:13" x14ac:dyDescent="0.35">
      <c r="A7" s="8">
        <v>4</v>
      </c>
      <c r="B7" s="9">
        <v>0.33961999999999998</v>
      </c>
      <c r="C7" s="9">
        <v>0.78261000000000003</v>
      </c>
      <c r="D7" s="9">
        <v>0.47367999999999999</v>
      </c>
      <c r="E7" s="9"/>
      <c r="F7" s="6">
        <v>23</v>
      </c>
      <c r="G7" s="6">
        <v>18</v>
      </c>
      <c r="H7" s="6">
        <v>35</v>
      </c>
      <c r="I7" s="6">
        <v>5</v>
      </c>
    </row>
    <row r="8" spans="1:13" x14ac:dyDescent="0.35">
      <c r="A8" s="8">
        <v>5</v>
      </c>
      <c r="B8" s="9">
        <v>0.56521999999999994</v>
      </c>
      <c r="C8" s="9">
        <v>1</v>
      </c>
      <c r="D8" s="9">
        <v>0.72221999999999997</v>
      </c>
      <c r="E8" s="9"/>
      <c r="F8" s="6">
        <v>13</v>
      </c>
      <c r="G8" s="6">
        <v>13</v>
      </c>
      <c r="H8" s="6">
        <v>10</v>
      </c>
      <c r="I8" s="6">
        <v>0</v>
      </c>
    </row>
    <row r="9" spans="1:13" x14ac:dyDescent="0.35">
      <c r="A9" s="8">
        <v>6</v>
      </c>
      <c r="B9" s="9">
        <v>0.84211000000000003</v>
      </c>
      <c r="C9" s="9">
        <v>1</v>
      </c>
      <c r="D9" s="9">
        <v>0.91429000000000005</v>
      </c>
      <c r="E9" s="9"/>
      <c r="F9" s="6">
        <v>16</v>
      </c>
      <c r="G9" s="6">
        <v>16</v>
      </c>
      <c r="H9" s="6">
        <v>3</v>
      </c>
      <c r="I9" s="6">
        <v>0</v>
      </c>
    </row>
    <row r="10" spans="1:13" x14ac:dyDescent="0.35">
      <c r="A10" s="8">
        <v>7</v>
      </c>
      <c r="B10" s="9">
        <v>0.14582999999999999</v>
      </c>
      <c r="C10" s="9">
        <v>1</v>
      </c>
      <c r="D10" s="9">
        <v>0.25455</v>
      </c>
      <c r="E10" s="9"/>
      <c r="F10" s="6">
        <v>7</v>
      </c>
      <c r="G10" s="6">
        <v>7</v>
      </c>
      <c r="H10" s="6">
        <v>41</v>
      </c>
      <c r="I10" s="6">
        <v>0</v>
      </c>
    </row>
    <row r="11" spans="1:13" x14ac:dyDescent="0.35">
      <c r="A11" s="8">
        <v>8</v>
      </c>
      <c r="B11" s="9">
        <v>0.99241000000000001</v>
      </c>
      <c r="C11" s="9">
        <v>0.82020999999999999</v>
      </c>
      <c r="D11" s="9">
        <v>0.89812999999999998</v>
      </c>
      <c r="E11" s="9"/>
      <c r="F11" s="6">
        <v>1435</v>
      </c>
      <c r="G11" s="6">
        <v>1177</v>
      </c>
      <c r="H11" s="6">
        <v>9</v>
      </c>
      <c r="I11" s="6">
        <v>258</v>
      </c>
    </row>
    <row r="12" spans="1:13" x14ac:dyDescent="0.35">
      <c r="A12" s="4" t="s">
        <v>16</v>
      </c>
      <c r="B12" s="9">
        <v>0.38717000000000001</v>
      </c>
      <c r="C12" s="9">
        <v>0.94767000000000001</v>
      </c>
      <c r="D12" s="9">
        <v>0.54974999999999996</v>
      </c>
      <c r="E12" s="9"/>
      <c r="G12" s="6">
        <v>163</v>
      </c>
      <c r="H12" s="6">
        <v>258</v>
      </c>
      <c r="I12" s="6">
        <v>9</v>
      </c>
      <c r="J12" s="6">
        <v>1177</v>
      </c>
      <c r="K12" s="9">
        <v>0.83384999999999998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05113-B2E4-4E79-B4F3-A2EBF7DB7B18}">
  <dimension ref="A1:M12"/>
  <sheetViews>
    <sheetView workbookViewId="0">
      <selection activeCell="D17" sqref="D17"/>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0.87583999999999995</v>
      </c>
      <c r="C2" s="9">
        <v>0.88341000000000003</v>
      </c>
      <c r="D2" s="9">
        <v>0.65973000000000004</v>
      </c>
      <c r="E2" s="9">
        <v>0.87961</v>
      </c>
      <c r="F2" s="6">
        <v>1607</v>
      </c>
      <c r="G2" s="7"/>
      <c r="H2" s="7"/>
      <c r="I2" s="7"/>
      <c r="J2" s="7"/>
      <c r="K2" s="9">
        <v>0.87368000000000001</v>
      </c>
      <c r="L2" s="6">
        <v>0</v>
      </c>
      <c r="M2" s="6">
        <v>0</v>
      </c>
    </row>
    <row r="3" spans="1:13" x14ac:dyDescent="0.35">
      <c r="A3" s="8">
        <v>0</v>
      </c>
      <c r="B3" s="9">
        <v>0.38635999999999998</v>
      </c>
      <c r="C3" s="9">
        <v>0.89473999999999998</v>
      </c>
      <c r="D3" s="9">
        <v>0.53968000000000005</v>
      </c>
      <c r="E3" s="9"/>
      <c r="F3" s="6">
        <v>38</v>
      </c>
      <c r="G3" s="6">
        <v>34</v>
      </c>
      <c r="H3" s="6">
        <v>54</v>
      </c>
      <c r="I3" s="6">
        <v>4</v>
      </c>
    </row>
    <row r="4" spans="1:13" x14ac:dyDescent="0.35">
      <c r="A4" s="8">
        <v>1</v>
      </c>
      <c r="B4" s="9">
        <v>0.4375</v>
      </c>
      <c r="C4" s="9">
        <v>0.92105000000000004</v>
      </c>
      <c r="D4" s="9">
        <v>0.59321999999999997</v>
      </c>
      <c r="E4" s="9"/>
      <c r="F4" s="6">
        <v>38</v>
      </c>
      <c r="G4" s="6">
        <v>35</v>
      </c>
      <c r="H4" s="6">
        <v>45</v>
      </c>
      <c r="I4" s="6">
        <v>3</v>
      </c>
    </row>
    <row r="5" spans="1:13" x14ac:dyDescent="0.35">
      <c r="A5" s="8">
        <v>2</v>
      </c>
      <c r="B5" s="9">
        <v>0.52173999999999998</v>
      </c>
      <c r="C5" s="9">
        <v>0.63158000000000003</v>
      </c>
      <c r="D5" s="9">
        <v>0.57142999999999999</v>
      </c>
      <c r="E5" s="9"/>
      <c r="F5" s="6">
        <v>38</v>
      </c>
      <c r="G5" s="6">
        <v>24</v>
      </c>
      <c r="H5" s="6">
        <v>22</v>
      </c>
      <c r="I5" s="6">
        <v>14</v>
      </c>
    </row>
    <row r="6" spans="1:13" x14ac:dyDescent="0.35">
      <c r="A6" s="8">
        <v>3</v>
      </c>
      <c r="B6" s="9">
        <v>0.41935</v>
      </c>
      <c r="C6" s="9">
        <v>1</v>
      </c>
      <c r="D6" s="9">
        <v>0.59091000000000005</v>
      </c>
      <c r="E6" s="9"/>
      <c r="F6" s="6">
        <v>13</v>
      </c>
      <c r="G6" s="6">
        <v>13</v>
      </c>
      <c r="H6" s="6">
        <v>18</v>
      </c>
      <c r="I6" s="6">
        <v>0</v>
      </c>
    </row>
    <row r="7" spans="1:13" x14ac:dyDescent="0.35">
      <c r="A7" s="8">
        <v>4</v>
      </c>
      <c r="B7" s="9">
        <v>0.52941000000000005</v>
      </c>
      <c r="C7" s="9">
        <v>0.78261000000000003</v>
      </c>
      <c r="D7" s="9">
        <v>0.63158000000000003</v>
      </c>
      <c r="E7" s="9"/>
      <c r="F7" s="6">
        <v>23</v>
      </c>
      <c r="G7" s="6">
        <v>18</v>
      </c>
      <c r="H7" s="6">
        <v>16</v>
      </c>
      <c r="I7" s="6">
        <v>5</v>
      </c>
    </row>
    <row r="8" spans="1:13" x14ac:dyDescent="0.35">
      <c r="A8" s="8">
        <v>5</v>
      </c>
      <c r="B8" s="9">
        <v>0.65</v>
      </c>
      <c r="C8" s="9">
        <v>1</v>
      </c>
      <c r="D8" s="9">
        <v>0.78788000000000002</v>
      </c>
      <c r="E8" s="9"/>
      <c r="F8" s="6">
        <v>13</v>
      </c>
      <c r="G8" s="6">
        <v>13</v>
      </c>
      <c r="H8" s="6">
        <v>7</v>
      </c>
      <c r="I8" s="6">
        <v>0</v>
      </c>
    </row>
    <row r="9" spans="1:13" x14ac:dyDescent="0.35">
      <c r="A9" s="8">
        <v>6</v>
      </c>
      <c r="B9" s="9">
        <v>0.9375</v>
      </c>
      <c r="C9" s="9">
        <v>0.9375</v>
      </c>
      <c r="D9" s="9">
        <v>0.9375</v>
      </c>
      <c r="E9" s="9"/>
      <c r="F9" s="6">
        <v>16</v>
      </c>
      <c r="G9" s="6">
        <v>15</v>
      </c>
      <c r="H9" s="6">
        <v>1</v>
      </c>
      <c r="I9" s="6">
        <v>1</v>
      </c>
    </row>
    <row r="10" spans="1:13" x14ac:dyDescent="0.35">
      <c r="A10" s="8">
        <v>7</v>
      </c>
      <c r="B10" s="9">
        <v>0.21212</v>
      </c>
      <c r="C10" s="9">
        <v>1</v>
      </c>
      <c r="D10" s="9">
        <v>0.35</v>
      </c>
      <c r="E10" s="9"/>
      <c r="F10" s="6">
        <v>7</v>
      </c>
      <c r="G10" s="6">
        <v>7</v>
      </c>
      <c r="H10" s="6">
        <v>26</v>
      </c>
      <c r="I10" s="6">
        <v>0</v>
      </c>
    </row>
    <row r="11" spans="1:13" x14ac:dyDescent="0.35">
      <c r="A11" s="8">
        <v>8</v>
      </c>
      <c r="B11" s="9">
        <v>0.98912</v>
      </c>
      <c r="C11" s="9">
        <v>0.88710999999999995</v>
      </c>
      <c r="D11" s="9">
        <v>0.93533999999999995</v>
      </c>
      <c r="E11" s="9"/>
      <c r="F11" s="6">
        <v>1435</v>
      </c>
      <c r="G11" s="6">
        <v>1273</v>
      </c>
      <c r="H11" s="6">
        <v>14</v>
      </c>
      <c r="I11" s="6">
        <v>162</v>
      </c>
    </row>
    <row r="12" spans="1:13" x14ac:dyDescent="0.35">
      <c r="A12" s="4" t="s">
        <v>16</v>
      </c>
      <c r="B12" s="9">
        <v>0.49375000000000002</v>
      </c>
      <c r="C12" s="9">
        <v>0.91859999999999997</v>
      </c>
      <c r="D12" s="9">
        <v>0.64227999999999996</v>
      </c>
      <c r="E12" s="9"/>
      <c r="G12" s="6">
        <v>158</v>
      </c>
      <c r="H12" s="6">
        <v>162</v>
      </c>
      <c r="I12" s="6">
        <v>14</v>
      </c>
      <c r="J12" s="6">
        <v>1273</v>
      </c>
      <c r="K12" s="9">
        <v>0.89048000000000005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5F14D-D4B6-410C-99EF-B1F0F3587D15}">
  <dimension ref="A1:M12"/>
  <sheetViews>
    <sheetView workbookViewId="0">
      <selection activeCell="F19" sqref="F19"/>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0.83640000000000003</v>
      </c>
      <c r="C2" s="9">
        <v>0.84206999999999999</v>
      </c>
      <c r="D2" s="9">
        <v>0.61534</v>
      </c>
      <c r="E2" s="9">
        <v>0.83923000000000003</v>
      </c>
      <c r="F2" s="6">
        <v>1607</v>
      </c>
      <c r="G2" s="7"/>
      <c r="H2" s="7"/>
      <c r="I2" s="7"/>
      <c r="J2" s="7"/>
      <c r="K2" s="9">
        <v>0.83384999999999998</v>
      </c>
      <c r="L2" s="6">
        <v>0</v>
      </c>
      <c r="M2" s="6">
        <v>0</v>
      </c>
    </row>
    <row r="3" spans="1:13" x14ac:dyDescent="0.35">
      <c r="A3" s="8">
        <v>0</v>
      </c>
      <c r="B3" s="9">
        <v>0.27206000000000002</v>
      </c>
      <c r="C3" s="9">
        <v>0.97367999999999999</v>
      </c>
      <c r="D3" s="9">
        <v>0.42529</v>
      </c>
      <c r="E3" s="9"/>
      <c r="F3" s="6">
        <v>38</v>
      </c>
      <c r="G3" s="6">
        <v>37</v>
      </c>
      <c r="H3" s="6">
        <v>99</v>
      </c>
      <c r="I3" s="6">
        <v>1</v>
      </c>
    </row>
    <row r="4" spans="1:13" x14ac:dyDescent="0.35">
      <c r="A4" s="8">
        <v>1</v>
      </c>
      <c r="B4" s="9">
        <v>0.59258999999999995</v>
      </c>
      <c r="C4" s="9">
        <v>0.84211000000000003</v>
      </c>
      <c r="D4" s="9">
        <v>0.69564999999999999</v>
      </c>
      <c r="E4" s="9"/>
      <c r="F4" s="6">
        <v>38</v>
      </c>
      <c r="G4" s="6">
        <v>32</v>
      </c>
      <c r="H4" s="6">
        <v>22</v>
      </c>
      <c r="I4" s="6">
        <v>6</v>
      </c>
    </row>
    <row r="5" spans="1:13" x14ac:dyDescent="0.35">
      <c r="A5" s="8">
        <v>2</v>
      </c>
      <c r="B5" s="9">
        <v>0.52083000000000002</v>
      </c>
      <c r="C5" s="9">
        <v>0.65788999999999997</v>
      </c>
      <c r="D5" s="9">
        <v>0.58140000000000003</v>
      </c>
      <c r="E5" s="9"/>
      <c r="F5" s="6">
        <v>38</v>
      </c>
      <c r="G5" s="6">
        <v>25</v>
      </c>
      <c r="H5" s="6">
        <v>23</v>
      </c>
      <c r="I5" s="6">
        <v>13</v>
      </c>
    </row>
    <row r="6" spans="1:13" x14ac:dyDescent="0.35">
      <c r="A6" s="8">
        <v>3</v>
      </c>
      <c r="B6" s="9">
        <v>0.30952000000000002</v>
      </c>
      <c r="C6" s="9">
        <v>1</v>
      </c>
      <c r="D6" s="9">
        <v>0.47272999999999998</v>
      </c>
      <c r="E6" s="9"/>
      <c r="F6" s="6">
        <v>13</v>
      </c>
      <c r="G6" s="6">
        <v>13</v>
      </c>
      <c r="H6" s="6">
        <v>29</v>
      </c>
      <c r="I6" s="6">
        <v>0</v>
      </c>
    </row>
    <row r="7" spans="1:13" x14ac:dyDescent="0.35">
      <c r="A7" s="8">
        <v>4</v>
      </c>
      <c r="B7" s="9">
        <v>0.54544999999999999</v>
      </c>
      <c r="C7" s="9">
        <v>0.78261000000000003</v>
      </c>
      <c r="D7" s="9">
        <v>0.64285999999999999</v>
      </c>
      <c r="E7" s="9"/>
      <c r="F7" s="6">
        <v>23</v>
      </c>
      <c r="G7" s="6">
        <v>18</v>
      </c>
      <c r="H7" s="6">
        <v>15</v>
      </c>
      <c r="I7" s="6">
        <v>5</v>
      </c>
    </row>
    <row r="8" spans="1:13" x14ac:dyDescent="0.35">
      <c r="A8" s="8">
        <v>5</v>
      </c>
      <c r="B8" s="9">
        <v>0.54544999999999999</v>
      </c>
      <c r="C8" s="9">
        <v>0.92308000000000001</v>
      </c>
      <c r="D8" s="9">
        <v>0.68571000000000004</v>
      </c>
      <c r="E8" s="9"/>
      <c r="F8" s="6">
        <v>13</v>
      </c>
      <c r="G8" s="6">
        <v>12</v>
      </c>
      <c r="H8" s="6">
        <v>10</v>
      </c>
      <c r="I8" s="6">
        <v>1</v>
      </c>
    </row>
    <row r="9" spans="1:13" x14ac:dyDescent="0.35">
      <c r="A9" s="8">
        <v>6</v>
      </c>
      <c r="B9" s="9">
        <v>0.84211000000000003</v>
      </c>
      <c r="C9" s="9">
        <v>1</v>
      </c>
      <c r="D9" s="9">
        <v>0.91429000000000005</v>
      </c>
      <c r="E9" s="9"/>
      <c r="F9" s="6">
        <v>16</v>
      </c>
      <c r="G9" s="6">
        <v>16</v>
      </c>
      <c r="H9" s="6">
        <v>3</v>
      </c>
      <c r="I9" s="6">
        <v>0</v>
      </c>
    </row>
    <row r="10" spans="1:13" x14ac:dyDescent="0.35">
      <c r="A10" s="8">
        <v>7</v>
      </c>
      <c r="B10" s="9">
        <v>0.11864</v>
      </c>
      <c r="C10" s="9">
        <v>1</v>
      </c>
      <c r="D10" s="9">
        <v>0.21212</v>
      </c>
      <c r="E10" s="9"/>
      <c r="F10" s="6">
        <v>7</v>
      </c>
      <c r="G10" s="6">
        <v>7</v>
      </c>
      <c r="H10" s="6">
        <v>52</v>
      </c>
      <c r="I10" s="6">
        <v>0</v>
      </c>
    </row>
    <row r="11" spans="1:13" x14ac:dyDescent="0.35">
      <c r="A11" s="8">
        <v>8</v>
      </c>
      <c r="B11" s="9">
        <v>0.98851999999999995</v>
      </c>
      <c r="C11" s="9">
        <v>0.83972000000000002</v>
      </c>
      <c r="D11" s="9">
        <v>0.90805999999999998</v>
      </c>
      <c r="E11" s="9"/>
      <c r="F11" s="6">
        <v>1435</v>
      </c>
      <c r="G11" s="6">
        <v>1205</v>
      </c>
      <c r="H11" s="6">
        <v>14</v>
      </c>
      <c r="I11" s="6">
        <v>230</v>
      </c>
    </row>
    <row r="12" spans="1:13" x14ac:dyDescent="0.35">
      <c r="A12" s="4" t="s">
        <v>16</v>
      </c>
      <c r="B12" s="9">
        <v>0.40722000000000003</v>
      </c>
      <c r="C12" s="9">
        <v>0.91859999999999997</v>
      </c>
      <c r="D12" s="9">
        <v>0.56428999999999996</v>
      </c>
      <c r="E12" s="9"/>
      <c r="G12" s="6">
        <v>158</v>
      </c>
      <c r="H12" s="6">
        <v>230</v>
      </c>
      <c r="I12" s="6">
        <v>14</v>
      </c>
      <c r="J12" s="6">
        <v>1205</v>
      </c>
      <c r="K12" s="9">
        <v>0.84816000000000003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F652-1042-4635-AF02-316ADF2FC10E}">
  <dimension ref="A1:M12"/>
  <sheetViews>
    <sheetView workbookViewId="0">
      <selection activeCell="G17" sqref="G17"/>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0.80906</v>
      </c>
      <c r="C2" s="9">
        <v>0.81555</v>
      </c>
      <c r="D2" s="9">
        <v>0.59262000000000004</v>
      </c>
      <c r="E2" s="9">
        <v>0.81228999999999996</v>
      </c>
      <c r="F2" s="6">
        <v>1607</v>
      </c>
      <c r="G2" s="7"/>
      <c r="H2" s="7"/>
      <c r="I2" s="7"/>
      <c r="J2" s="7"/>
      <c r="K2" s="9">
        <v>0.80584999999999996</v>
      </c>
      <c r="L2" s="6">
        <v>0</v>
      </c>
      <c r="M2" s="6">
        <v>0</v>
      </c>
    </row>
    <row r="3" spans="1:13" x14ac:dyDescent="0.35">
      <c r="A3" s="8">
        <v>0</v>
      </c>
      <c r="B3" s="9">
        <v>0.27611999999999998</v>
      </c>
      <c r="C3" s="9">
        <v>0.97367999999999999</v>
      </c>
      <c r="D3" s="9">
        <v>0.43023</v>
      </c>
      <c r="E3" s="9"/>
      <c r="F3" s="6">
        <v>38</v>
      </c>
      <c r="G3" s="6">
        <v>37</v>
      </c>
      <c r="H3" s="6">
        <v>97</v>
      </c>
      <c r="I3" s="6">
        <v>1</v>
      </c>
    </row>
    <row r="4" spans="1:13" x14ac:dyDescent="0.35">
      <c r="A4" s="8">
        <v>1</v>
      </c>
      <c r="B4" s="9">
        <v>0.61538000000000004</v>
      </c>
      <c r="C4" s="9">
        <v>0.84211000000000003</v>
      </c>
      <c r="D4" s="9">
        <v>0.71111000000000002</v>
      </c>
      <c r="E4" s="9"/>
      <c r="F4" s="6">
        <v>38</v>
      </c>
      <c r="G4" s="6">
        <v>32</v>
      </c>
      <c r="H4" s="6">
        <v>20</v>
      </c>
      <c r="I4" s="6">
        <v>6</v>
      </c>
    </row>
    <row r="5" spans="1:13" x14ac:dyDescent="0.35">
      <c r="A5" s="8">
        <v>2</v>
      </c>
      <c r="B5" s="9">
        <v>0.53061000000000003</v>
      </c>
      <c r="C5" s="9">
        <v>0.68420999999999998</v>
      </c>
      <c r="D5" s="9">
        <v>0.59770000000000001</v>
      </c>
      <c r="E5" s="9"/>
      <c r="F5" s="6">
        <v>38</v>
      </c>
      <c r="G5" s="6">
        <v>26</v>
      </c>
      <c r="H5" s="6">
        <v>23</v>
      </c>
      <c r="I5" s="6">
        <v>12</v>
      </c>
    </row>
    <row r="6" spans="1:13" x14ac:dyDescent="0.35">
      <c r="A6" s="8">
        <v>3</v>
      </c>
      <c r="B6" s="9">
        <v>0.28888999999999998</v>
      </c>
      <c r="C6" s="9">
        <v>1</v>
      </c>
      <c r="D6" s="9">
        <v>0.44828000000000001</v>
      </c>
      <c r="E6" s="9"/>
      <c r="F6" s="6">
        <v>13</v>
      </c>
      <c r="G6" s="6">
        <v>13</v>
      </c>
      <c r="H6" s="6">
        <v>32</v>
      </c>
      <c r="I6" s="6">
        <v>0</v>
      </c>
    </row>
    <row r="7" spans="1:13" x14ac:dyDescent="0.35">
      <c r="A7" s="8">
        <v>4</v>
      </c>
      <c r="B7" s="9">
        <v>0.4</v>
      </c>
      <c r="C7" s="9">
        <v>0.86956999999999995</v>
      </c>
      <c r="D7" s="9">
        <v>0.54795000000000005</v>
      </c>
      <c r="E7" s="9"/>
      <c r="F7" s="6">
        <v>23</v>
      </c>
      <c r="G7" s="6">
        <v>20</v>
      </c>
      <c r="H7" s="6">
        <v>30</v>
      </c>
      <c r="I7" s="6">
        <v>3</v>
      </c>
    </row>
    <row r="8" spans="1:13" x14ac:dyDescent="0.35">
      <c r="A8" s="8">
        <v>5</v>
      </c>
      <c r="B8" s="9">
        <v>0.48148000000000002</v>
      </c>
      <c r="C8" s="9">
        <v>1</v>
      </c>
      <c r="D8" s="9">
        <v>0.65</v>
      </c>
      <c r="E8" s="9"/>
      <c r="F8" s="6">
        <v>13</v>
      </c>
      <c r="G8" s="6">
        <v>13</v>
      </c>
      <c r="H8" s="6">
        <v>14</v>
      </c>
      <c r="I8" s="6">
        <v>0</v>
      </c>
    </row>
    <row r="9" spans="1:13" x14ac:dyDescent="0.35">
      <c r="A9" s="8">
        <v>6</v>
      </c>
      <c r="B9" s="9">
        <v>0.84211000000000003</v>
      </c>
      <c r="C9" s="9">
        <v>1</v>
      </c>
      <c r="D9" s="9">
        <v>0.91429000000000005</v>
      </c>
      <c r="E9" s="9"/>
      <c r="F9" s="6">
        <v>16</v>
      </c>
      <c r="G9" s="6">
        <v>16</v>
      </c>
      <c r="H9" s="6">
        <v>3</v>
      </c>
      <c r="I9" s="6">
        <v>0</v>
      </c>
    </row>
    <row r="10" spans="1:13" x14ac:dyDescent="0.35">
      <c r="A10" s="8">
        <v>7</v>
      </c>
      <c r="B10" s="9">
        <v>7.7780000000000002E-2</v>
      </c>
      <c r="C10" s="9">
        <v>1</v>
      </c>
      <c r="D10" s="9">
        <v>0.14433000000000001</v>
      </c>
      <c r="E10" s="9"/>
      <c r="F10" s="6">
        <v>7</v>
      </c>
      <c r="G10" s="6">
        <v>7</v>
      </c>
      <c r="H10" s="6">
        <v>83</v>
      </c>
      <c r="I10" s="6">
        <v>0</v>
      </c>
    </row>
    <row r="11" spans="1:13" x14ac:dyDescent="0.35">
      <c r="A11" s="8">
        <v>8</v>
      </c>
      <c r="B11" s="9">
        <v>0.99143999999999999</v>
      </c>
      <c r="C11" s="9">
        <v>0.80696999999999997</v>
      </c>
      <c r="D11" s="9">
        <v>0.88973999999999998</v>
      </c>
      <c r="E11" s="9"/>
      <c r="F11" s="6">
        <v>1435</v>
      </c>
      <c r="G11" s="6">
        <v>1158</v>
      </c>
      <c r="H11" s="6">
        <v>10</v>
      </c>
      <c r="I11" s="6">
        <v>277</v>
      </c>
    </row>
    <row r="12" spans="1:13" x14ac:dyDescent="0.35">
      <c r="A12" s="4" t="s">
        <v>16</v>
      </c>
      <c r="B12" s="9">
        <v>0.36902000000000001</v>
      </c>
      <c r="C12" s="9">
        <v>0.94186000000000003</v>
      </c>
      <c r="D12" s="9">
        <v>0.53027999999999997</v>
      </c>
      <c r="E12" s="9"/>
      <c r="G12" s="6">
        <v>162</v>
      </c>
      <c r="H12" s="6">
        <v>277</v>
      </c>
      <c r="I12" s="6">
        <v>10</v>
      </c>
      <c r="J12" s="6">
        <v>1158</v>
      </c>
      <c r="K12" s="9">
        <v>0.82140999999999997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F2D06-E3AD-4303-8BBF-906F8389D570}">
  <dimension ref="A1:M12"/>
  <sheetViews>
    <sheetView workbookViewId="0">
      <selection activeCell="Z45" sqref="Z45"/>
    </sheetView>
  </sheetViews>
  <sheetFormatPr defaultColWidth="8.6328125" defaultRowHeight="14.5" x14ac:dyDescent="0.35"/>
  <cols>
    <col min="1" max="1" width="13.6328125" style="5" customWidth="1"/>
    <col min="2" max="2" width="12.1796875" style="6" customWidth="1"/>
    <col min="3" max="3" width="10.453125" style="6" customWidth="1"/>
    <col min="4"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0.95931</v>
      </c>
      <c r="C2" s="9">
        <v>0.95989999999999998</v>
      </c>
      <c r="D2" s="9">
        <v>0.83037000000000005</v>
      </c>
      <c r="E2" s="9">
        <v>0.95960999999999996</v>
      </c>
      <c r="F2" s="6">
        <v>1607</v>
      </c>
      <c r="G2" s="7"/>
      <c r="H2" s="7"/>
      <c r="I2" s="7"/>
      <c r="J2" s="7"/>
      <c r="K2" s="9">
        <v>0.95643999999999996</v>
      </c>
      <c r="L2" s="6">
        <v>0</v>
      </c>
      <c r="M2" s="6">
        <v>0</v>
      </c>
    </row>
    <row r="3" spans="1:13" x14ac:dyDescent="0.35">
      <c r="A3" s="8">
        <v>0</v>
      </c>
      <c r="B3" s="9">
        <v>0.70455000000000001</v>
      </c>
      <c r="C3" s="9">
        <v>0.81579000000000002</v>
      </c>
      <c r="D3" s="9">
        <v>0.75609999999999999</v>
      </c>
      <c r="E3" s="9"/>
      <c r="F3" s="6">
        <v>38</v>
      </c>
      <c r="G3" s="6">
        <v>31</v>
      </c>
      <c r="H3" s="6">
        <v>13</v>
      </c>
      <c r="I3" s="6">
        <v>7</v>
      </c>
    </row>
    <row r="4" spans="1:13" x14ac:dyDescent="0.35">
      <c r="A4" s="8">
        <v>1</v>
      </c>
      <c r="B4" s="9">
        <v>0.78378000000000003</v>
      </c>
      <c r="C4" s="9">
        <v>0.76315999999999995</v>
      </c>
      <c r="D4" s="9">
        <v>0.77332999999999996</v>
      </c>
      <c r="E4" s="9"/>
      <c r="F4" s="6">
        <v>38</v>
      </c>
      <c r="G4" s="6">
        <v>29</v>
      </c>
      <c r="H4" s="6">
        <v>8</v>
      </c>
      <c r="I4" s="6">
        <v>9</v>
      </c>
    </row>
    <row r="5" spans="1:13" x14ac:dyDescent="0.35">
      <c r="A5" s="8">
        <v>2</v>
      </c>
      <c r="B5" s="9">
        <v>0.84375</v>
      </c>
      <c r="C5" s="9">
        <v>0.71052999999999999</v>
      </c>
      <c r="D5" s="9">
        <v>0.77142999999999995</v>
      </c>
      <c r="E5" s="9"/>
      <c r="F5" s="6">
        <v>38</v>
      </c>
      <c r="G5" s="6">
        <v>27</v>
      </c>
      <c r="H5" s="6">
        <v>5</v>
      </c>
      <c r="I5" s="6">
        <v>11</v>
      </c>
    </row>
    <row r="6" spans="1:13" x14ac:dyDescent="0.35">
      <c r="A6" s="8">
        <v>3</v>
      </c>
      <c r="B6" s="9">
        <v>0.61904999999999999</v>
      </c>
      <c r="C6" s="9">
        <v>1</v>
      </c>
      <c r="D6" s="9">
        <v>0.76471</v>
      </c>
      <c r="E6" s="9"/>
      <c r="F6" s="6">
        <v>13</v>
      </c>
      <c r="G6" s="6">
        <v>13</v>
      </c>
      <c r="H6" s="6">
        <v>8</v>
      </c>
      <c r="I6" s="6">
        <v>0</v>
      </c>
    </row>
    <row r="7" spans="1:13" x14ac:dyDescent="0.35">
      <c r="A7" s="8">
        <v>4</v>
      </c>
      <c r="B7" s="9">
        <v>0.81818000000000002</v>
      </c>
      <c r="C7" s="9">
        <v>0.78261000000000003</v>
      </c>
      <c r="D7" s="9">
        <v>0.8</v>
      </c>
      <c r="E7" s="9"/>
      <c r="F7" s="6">
        <v>23</v>
      </c>
      <c r="G7" s="6">
        <v>18</v>
      </c>
      <c r="H7" s="6">
        <v>4</v>
      </c>
      <c r="I7" s="6">
        <v>5</v>
      </c>
    </row>
    <row r="8" spans="1:13" x14ac:dyDescent="0.35">
      <c r="A8" s="8">
        <v>5</v>
      </c>
      <c r="B8" s="9">
        <v>1</v>
      </c>
      <c r="C8" s="9">
        <v>0.92308000000000001</v>
      </c>
      <c r="D8" s="9">
        <v>0.96</v>
      </c>
      <c r="E8" s="9"/>
      <c r="F8" s="6">
        <v>13</v>
      </c>
      <c r="G8" s="6">
        <v>12</v>
      </c>
      <c r="H8" s="6">
        <v>0</v>
      </c>
      <c r="I8" s="6">
        <v>1</v>
      </c>
    </row>
    <row r="9" spans="1:13" x14ac:dyDescent="0.35">
      <c r="A9" s="8">
        <v>6</v>
      </c>
      <c r="B9" s="9">
        <v>1</v>
      </c>
      <c r="C9" s="9">
        <v>1</v>
      </c>
      <c r="D9" s="9">
        <v>1</v>
      </c>
      <c r="E9" s="9"/>
      <c r="F9" s="6">
        <v>16</v>
      </c>
      <c r="G9" s="6">
        <v>16</v>
      </c>
      <c r="H9" s="6">
        <v>0</v>
      </c>
      <c r="I9" s="6">
        <v>0</v>
      </c>
    </row>
    <row r="10" spans="1:13" x14ac:dyDescent="0.35">
      <c r="A10" s="8">
        <v>7</v>
      </c>
      <c r="B10" s="9">
        <v>0.54544999999999999</v>
      </c>
      <c r="C10" s="9">
        <v>0.85714000000000001</v>
      </c>
      <c r="D10" s="9">
        <v>0.66666999999999998</v>
      </c>
      <c r="E10" s="9"/>
      <c r="F10" s="6">
        <v>7</v>
      </c>
      <c r="G10" s="6">
        <v>6</v>
      </c>
      <c r="H10" s="6">
        <v>5</v>
      </c>
      <c r="I10" s="6">
        <v>1</v>
      </c>
    </row>
    <row r="11" spans="1:13" x14ac:dyDescent="0.35">
      <c r="A11" s="8">
        <v>8</v>
      </c>
      <c r="B11" s="9">
        <v>0.98387999999999998</v>
      </c>
      <c r="C11" s="9">
        <v>0.97840000000000005</v>
      </c>
      <c r="D11" s="9">
        <v>0.98112999999999995</v>
      </c>
      <c r="E11" s="9"/>
      <c r="F11" s="6">
        <v>1435</v>
      </c>
      <c r="G11" s="6">
        <v>1404</v>
      </c>
      <c r="H11" s="6">
        <v>23</v>
      </c>
      <c r="I11" s="6">
        <v>31</v>
      </c>
    </row>
    <row r="12" spans="1:13" x14ac:dyDescent="0.35">
      <c r="A12" s="4" t="s">
        <v>16</v>
      </c>
      <c r="B12" s="9">
        <v>0.82777999999999996</v>
      </c>
      <c r="C12" s="9">
        <v>0.86628000000000005</v>
      </c>
      <c r="D12" s="9">
        <v>0.84658999999999995</v>
      </c>
      <c r="E12" s="9"/>
      <c r="G12" s="6">
        <v>149</v>
      </c>
      <c r="H12" s="6">
        <v>31</v>
      </c>
      <c r="I12" s="6">
        <v>23</v>
      </c>
      <c r="J12" s="6">
        <v>1404</v>
      </c>
      <c r="K12" s="9">
        <v>0.96640000000000004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55D1-736B-4845-8525-C6A6529E9664}">
  <dimension ref="A1:M12"/>
  <sheetViews>
    <sheetView workbookViewId="0">
      <selection activeCell="L27" sqref="L27"/>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v>0.94479000000000002</v>
      </c>
      <c r="C2" s="9">
        <v>0.95003000000000004</v>
      </c>
      <c r="D2" s="9">
        <v>0.80666000000000004</v>
      </c>
      <c r="E2" s="9">
        <v>0.94740000000000002</v>
      </c>
      <c r="F2" s="6">
        <v>1607</v>
      </c>
      <c r="G2" s="7"/>
      <c r="H2" s="7"/>
      <c r="I2" s="7"/>
      <c r="J2" s="7"/>
      <c r="K2" s="9">
        <v>0.94213000000000002</v>
      </c>
      <c r="L2" s="6">
        <v>0</v>
      </c>
      <c r="M2" s="6">
        <v>0</v>
      </c>
    </row>
    <row r="3" spans="1:13" x14ac:dyDescent="0.35">
      <c r="A3" s="8">
        <v>0</v>
      </c>
      <c r="B3" s="9">
        <v>0.625</v>
      </c>
      <c r="C3" s="9">
        <v>0.78947000000000001</v>
      </c>
      <c r="D3" s="9">
        <v>0.69767000000000001</v>
      </c>
      <c r="E3" s="9"/>
      <c r="F3" s="6">
        <v>38</v>
      </c>
      <c r="G3" s="6">
        <v>30</v>
      </c>
      <c r="H3" s="6">
        <v>18</v>
      </c>
      <c r="I3" s="6">
        <v>8</v>
      </c>
    </row>
    <row r="4" spans="1:13" x14ac:dyDescent="0.35">
      <c r="A4" s="8">
        <v>1</v>
      </c>
      <c r="B4" s="9">
        <v>0.62263999999999997</v>
      </c>
      <c r="C4" s="9">
        <v>0.86841999999999997</v>
      </c>
      <c r="D4" s="9">
        <v>0.72526999999999997</v>
      </c>
      <c r="E4" s="9"/>
      <c r="F4" s="6">
        <v>38</v>
      </c>
      <c r="G4" s="6">
        <v>33</v>
      </c>
      <c r="H4" s="6">
        <v>20</v>
      </c>
      <c r="I4" s="6">
        <v>5</v>
      </c>
    </row>
    <row r="5" spans="1:13" x14ac:dyDescent="0.35">
      <c r="A5" s="8">
        <v>2</v>
      </c>
      <c r="B5" s="9">
        <v>0.64705999999999997</v>
      </c>
      <c r="C5" s="9">
        <v>0.86841999999999997</v>
      </c>
      <c r="D5" s="9">
        <v>0.74156999999999995</v>
      </c>
      <c r="E5" s="9"/>
      <c r="F5" s="6">
        <v>38</v>
      </c>
      <c r="G5" s="6">
        <v>33</v>
      </c>
      <c r="H5" s="6">
        <v>18</v>
      </c>
      <c r="I5" s="6">
        <v>5</v>
      </c>
    </row>
    <row r="6" spans="1:13" x14ac:dyDescent="0.35">
      <c r="A6" s="8">
        <v>3</v>
      </c>
      <c r="B6" s="9">
        <v>0.66666999999999998</v>
      </c>
      <c r="C6" s="9">
        <v>0.92308000000000001</v>
      </c>
      <c r="D6" s="9">
        <v>0.77419000000000004</v>
      </c>
      <c r="E6" s="9"/>
      <c r="F6" s="6">
        <v>13</v>
      </c>
      <c r="G6" s="6">
        <v>12</v>
      </c>
      <c r="H6" s="6">
        <v>6</v>
      </c>
      <c r="I6" s="6">
        <v>1</v>
      </c>
    </row>
    <row r="7" spans="1:13" x14ac:dyDescent="0.35">
      <c r="A7" s="8">
        <v>4</v>
      </c>
      <c r="B7" s="9">
        <v>0.76</v>
      </c>
      <c r="C7" s="9">
        <v>0.82608999999999999</v>
      </c>
      <c r="D7" s="9">
        <v>0.79166999999999998</v>
      </c>
      <c r="E7" s="9"/>
      <c r="F7" s="6">
        <v>23</v>
      </c>
      <c r="G7" s="6">
        <v>19</v>
      </c>
      <c r="H7" s="6">
        <v>6</v>
      </c>
      <c r="I7" s="6">
        <v>4</v>
      </c>
    </row>
    <row r="8" spans="1:13" x14ac:dyDescent="0.35">
      <c r="A8" s="8">
        <v>5</v>
      </c>
      <c r="B8" s="9">
        <v>0.92308000000000001</v>
      </c>
      <c r="C8" s="9">
        <v>0.92308000000000001</v>
      </c>
      <c r="D8" s="9">
        <v>0.92308000000000001</v>
      </c>
      <c r="E8" s="9"/>
      <c r="F8" s="6">
        <v>13</v>
      </c>
      <c r="G8" s="6">
        <v>12</v>
      </c>
      <c r="H8" s="6">
        <v>1</v>
      </c>
      <c r="I8" s="6">
        <v>1</v>
      </c>
    </row>
    <row r="9" spans="1:13" x14ac:dyDescent="0.35">
      <c r="A9" s="8">
        <v>6</v>
      </c>
      <c r="B9" s="9">
        <v>1</v>
      </c>
      <c r="C9" s="9">
        <v>1</v>
      </c>
      <c r="D9" s="9">
        <v>1</v>
      </c>
      <c r="E9" s="9"/>
      <c r="F9" s="6">
        <v>16</v>
      </c>
      <c r="G9" s="6">
        <v>16</v>
      </c>
      <c r="H9" s="6">
        <v>0</v>
      </c>
      <c r="I9" s="6">
        <v>0</v>
      </c>
    </row>
    <row r="10" spans="1:13" x14ac:dyDescent="0.35">
      <c r="A10" s="8">
        <v>7</v>
      </c>
      <c r="B10" s="9">
        <v>0.5</v>
      </c>
      <c r="C10" s="9">
        <v>0.85714000000000001</v>
      </c>
      <c r="D10" s="9">
        <v>0.63158000000000003</v>
      </c>
      <c r="E10" s="9"/>
      <c r="F10" s="6">
        <v>7</v>
      </c>
      <c r="G10" s="6">
        <v>6</v>
      </c>
      <c r="H10" s="6">
        <v>6</v>
      </c>
      <c r="I10" s="6">
        <v>1</v>
      </c>
    </row>
    <row r="11" spans="1:13" x14ac:dyDescent="0.35">
      <c r="A11" s="8">
        <v>8</v>
      </c>
      <c r="B11" s="9">
        <v>0.98924000000000001</v>
      </c>
      <c r="C11" s="9">
        <v>0.96097999999999995</v>
      </c>
      <c r="D11" s="9">
        <v>0.97489999999999999</v>
      </c>
      <c r="E11" s="9"/>
      <c r="F11" s="6">
        <v>1435</v>
      </c>
      <c r="G11" s="6">
        <v>1379</v>
      </c>
      <c r="H11" s="6">
        <v>15</v>
      </c>
      <c r="I11" s="6">
        <v>56</v>
      </c>
    </row>
    <row r="12" spans="1:13" x14ac:dyDescent="0.35">
      <c r="A12" s="4" t="s">
        <v>16</v>
      </c>
      <c r="B12" s="9">
        <v>0.73709000000000002</v>
      </c>
      <c r="C12" s="9">
        <v>0.91278999999999999</v>
      </c>
      <c r="D12" s="9">
        <v>0.81557999999999997</v>
      </c>
      <c r="E12" s="9"/>
      <c r="G12" s="6">
        <v>157</v>
      </c>
      <c r="H12" s="6">
        <v>56</v>
      </c>
      <c r="I12" s="6">
        <v>15</v>
      </c>
      <c r="J12" s="6">
        <v>1379</v>
      </c>
      <c r="K12" s="9">
        <v>0.95582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workbookViewId="0">
      <selection sqref="A1:XFD1048576"/>
    </sheetView>
  </sheetViews>
  <sheetFormatPr defaultColWidth="8.6328125" defaultRowHeight="14.5" x14ac:dyDescent="0.35"/>
  <cols>
    <col min="1" max="1" width="13.6328125" style="5" customWidth="1"/>
    <col min="2" max="2" width="12.1796875" style="6" customWidth="1"/>
    <col min="3" max="3" width="10.453125" style="6" customWidth="1"/>
    <col min="4" max="5" width="9.6328125" style="6" customWidth="1"/>
    <col min="6" max="6" width="12.54296875" style="6" customWidth="1"/>
    <col min="7" max="10" width="9.6328125" style="6" customWidth="1"/>
    <col min="11" max="11" width="10.81640625" style="6" customWidth="1"/>
    <col min="12" max="13" width="12.453125" style="6" customWidth="1"/>
    <col min="14" max="16384" width="8.6328125" style="5"/>
  </cols>
  <sheetData>
    <row r="1" spans="1:13" s="3" customFormat="1" ht="29" x14ac:dyDescent="0.35">
      <c r="A1" s="1" t="s">
        <v>17</v>
      </c>
      <c r="B1" s="2" t="s">
        <v>0</v>
      </c>
      <c r="C1" s="2" t="s">
        <v>1</v>
      </c>
      <c r="D1" s="2" t="s">
        <v>225</v>
      </c>
      <c r="E1" s="2" t="s">
        <v>30</v>
      </c>
      <c r="F1" s="2" t="s">
        <v>3</v>
      </c>
      <c r="G1" s="2" t="s">
        <v>4</v>
      </c>
      <c r="H1" s="2" t="s">
        <v>5</v>
      </c>
      <c r="I1" s="2" t="s">
        <v>6</v>
      </c>
      <c r="J1" s="2" t="s">
        <v>7</v>
      </c>
      <c r="K1" s="2" t="s">
        <v>8</v>
      </c>
      <c r="L1" s="2" t="s">
        <v>9</v>
      </c>
      <c r="M1" s="2" t="s">
        <v>10</v>
      </c>
    </row>
    <row r="2" spans="1:13" x14ac:dyDescent="0.35">
      <c r="A2" s="4" t="s">
        <v>11</v>
      </c>
      <c r="B2" s="9" t="s">
        <v>12</v>
      </c>
      <c r="C2" s="9" t="s">
        <v>13</v>
      </c>
      <c r="D2" s="9" t="s">
        <v>29</v>
      </c>
      <c r="E2" s="9" t="s">
        <v>28</v>
      </c>
      <c r="F2" s="6" t="s">
        <v>14</v>
      </c>
      <c r="G2" s="7"/>
      <c r="H2" s="7"/>
      <c r="I2" s="7"/>
      <c r="J2" s="7"/>
      <c r="K2" s="9" t="s">
        <v>15</v>
      </c>
    </row>
    <row r="3" spans="1:13" x14ac:dyDescent="0.35">
      <c r="A3" s="8">
        <v>0</v>
      </c>
      <c r="B3" s="9">
        <v>0.17116999999999999</v>
      </c>
      <c r="C3" s="9">
        <v>1</v>
      </c>
      <c r="D3" s="9">
        <v>0.29231000000000001</v>
      </c>
      <c r="E3" s="9"/>
      <c r="F3" s="6">
        <v>38</v>
      </c>
      <c r="G3" s="6">
        <v>38</v>
      </c>
      <c r="H3" s="6">
        <v>184</v>
      </c>
      <c r="I3" s="6">
        <v>0</v>
      </c>
    </row>
    <row r="4" spans="1:13" x14ac:dyDescent="0.35">
      <c r="A4" s="8">
        <v>1</v>
      </c>
      <c r="B4" s="9">
        <v>0.35714000000000001</v>
      </c>
      <c r="C4" s="9">
        <v>0.78947000000000001</v>
      </c>
      <c r="D4" s="9">
        <v>0.49180000000000001</v>
      </c>
      <c r="E4" s="9"/>
      <c r="F4" s="6">
        <v>38</v>
      </c>
      <c r="G4" s="6">
        <v>30</v>
      </c>
      <c r="H4" s="6">
        <v>54</v>
      </c>
      <c r="I4" s="6">
        <v>8</v>
      </c>
    </row>
    <row r="5" spans="1:13" x14ac:dyDescent="0.35">
      <c r="A5" s="8">
        <v>2</v>
      </c>
      <c r="B5" s="9">
        <v>0.29293000000000002</v>
      </c>
      <c r="C5" s="9">
        <v>0.76315999999999995</v>
      </c>
      <c r="D5" s="9">
        <v>0.42336000000000001</v>
      </c>
      <c r="E5" s="9"/>
      <c r="F5" s="6">
        <v>38</v>
      </c>
      <c r="G5" s="6">
        <v>29</v>
      </c>
      <c r="H5" s="6">
        <v>70</v>
      </c>
      <c r="I5" s="6">
        <v>9</v>
      </c>
    </row>
    <row r="6" spans="1:13" x14ac:dyDescent="0.35">
      <c r="A6" s="8">
        <v>3</v>
      </c>
      <c r="B6" s="9">
        <v>0.125</v>
      </c>
      <c r="C6" s="9">
        <v>1</v>
      </c>
      <c r="D6" s="9">
        <v>0.22222</v>
      </c>
      <c r="E6" s="9"/>
      <c r="F6" s="6">
        <v>13</v>
      </c>
      <c r="G6" s="6">
        <v>13</v>
      </c>
      <c r="H6" s="6">
        <v>91</v>
      </c>
      <c r="I6" s="6">
        <v>0</v>
      </c>
    </row>
    <row r="7" spans="1:13" x14ac:dyDescent="0.35">
      <c r="A7" s="8">
        <v>4</v>
      </c>
      <c r="B7" s="9">
        <v>0.27272999999999997</v>
      </c>
      <c r="C7" s="9">
        <v>0.91303999999999996</v>
      </c>
      <c r="D7" s="9">
        <v>0.42</v>
      </c>
      <c r="E7" s="9"/>
      <c r="F7" s="6">
        <v>23</v>
      </c>
      <c r="G7" s="6">
        <v>21</v>
      </c>
      <c r="H7" s="6">
        <v>56</v>
      </c>
      <c r="I7" s="6">
        <v>2</v>
      </c>
    </row>
    <row r="8" spans="1:13" x14ac:dyDescent="0.35">
      <c r="A8" s="8">
        <v>5</v>
      </c>
      <c r="B8" s="9">
        <v>0.26</v>
      </c>
      <c r="C8" s="9">
        <v>1</v>
      </c>
      <c r="D8" s="9">
        <v>0.41270000000000001</v>
      </c>
      <c r="E8" s="9"/>
      <c r="F8" s="6">
        <v>13</v>
      </c>
      <c r="G8" s="6">
        <v>13</v>
      </c>
      <c r="H8" s="6">
        <v>37</v>
      </c>
      <c r="I8" s="6">
        <v>0</v>
      </c>
    </row>
    <row r="9" spans="1:13" x14ac:dyDescent="0.35">
      <c r="A9" s="8">
        <v>6</v>
      </c>
      <c r="B9" s="9">
        <v>0.64</v>
      </c>
      <c r="C9" s="9">
        <v>1</v>
      </c>
      <c r="D9" s="9">
        <v>0.78049000000000002</v>
      </c>
      <c r="E9" s="9"/>
      <c r="F9" s="6">
        <v>16</v>
      </c>
      <c r="G9" s="6">
        <v>16</v>
      </c>
      <c r="H9" s="6">
        <v>9</v>
      </c>
      <c r="I9" s="6">
        <v>0</v>
      </c>
    </row>
    <row r="10" spans="1:13" x14ac:dyDescent="0.35">
      <c r="A10" s="8">
        <v>7</v>
      </c>
      <c r="B10" s="9">
        <v>6.6040000000000001E-2</v>
      </c>
      <c r="C10" s="9">
        <v>1</v>
      </c>
      <c r="D10" s="9">
        <v>0.12389</v>
      </c>
      <c r="E10" s="9"/>
      <c r="F10" s="6">
        <v>7</v>
      </c>
      <c r="G10" s="6">
        <v>7</v>
      </c>
      <c r="H10" s="6">
        <v>99</v>
      </c>
      <c r="I10" s="6">
        <v>0</v>
      </c>
    </row>
    <row r="11" spans="1:13" x14ac:dyDescent="0.35">
      <c r="A11" s="8">
        <v>8</v>
      </c>
      <c r="B11" s="9">
        <v>0.99553999999999998</v>
      </c>
      <c r="C11" s="9">
        <v>0.62229999999999996</v>
      </c>
      <c r="D11" s="9">
        <v>0.76587000000000005</v>
      </c>
      <c r="E11" s="9"/>
      <c r="F11" s="6">
        <v>1435</v>
      </c>
      <c r="G11" s="6">
        <v>893</v>
      </c>
      <c r="H11" s="6">
        <v>4</v>
      </c>
      <c r="I11" s="6">
        <v>542</v>
      </c>
    </row>
    <row r="12" spans="1:13" x14ac:dyDescent="0.35">
      <c r="A12" s="4" t="s">
        <v>16</v>
      </c>
      <c r="B12" s="9">
        <v>0.23662</v>
      </c>
      <c r="C12" s="9">
        <v>0.97674000000000005</v>
      </c>
      <c r="D12" s="9">
        <v>0.38095000000000001</v>
      </c>
      <c r="E12" s="9"/>
      <c r="G12" s="6">
        <v>168</v>
      </c>
      <c r="H12" s="6">
        <v>542</v>
      </c>
      <c r="I12" s="6">
        <v>4</v>
      </c>
      <c r="J12" s="6">
        <v>893</v>
      </c>
      <c r="K12" s="9">
        <v>0.66024000000000005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Graphs</vt:lpstr>
      <vt:lpstr>Main</vt:lpstr>
      <vt:lpstr>Prompts</vt:lpstr>
      <vt:lpstr>ZS13-Full-Gemini-3.1-Pro-27.05.</vt:lpstr>
      <vt:lpstr>ZS12-Full-4.1m-27.05.26</vt:lpstr>
      <vt:lpstr>ZS11-Full-Gemini-2.5-flash-27.0</vt:lpstr>
      <vt:lpstr>ZS9-Full-Gemini3.1-pro-27.05.26</vt:lpstr>
      <vt:lpstr>ZS8-Full-Gemini2.5-flash-27.05.</vt:lpstr>
      <vt:lpstr>ZS7-Full-5.4n-15.04.26</vt:lpstr>
      <vt:lpstr>ZS6-Full-5.4n-15.04.26</vt:lpstr>
      <vt:lpstr>ZS5-Full-5.4n-15.04.26</vt:lpstr>
      <vt:lpstr>ZS4-Full-5.4n-14.04.26</vt:lpstr>
      <vt:lpstr>ZS3-Full-4.1m-15.04.26</vt:lpstr>
      <vt:lpstr>ZS3-Full-5.4n-14.04.26</vt:lpstr>
      <vt:lpstr>ZS2-Full-4.1m-07.04.26</vt:lpstr>
      <vt:lpstr>ZS1-Full-4.1m-21.03.26</vt:lpstr>
      <vt:lpstr>FS8-Full-Gemini-2.5-flash-27.05</vt:lpstr>
      <vt:lpstr>FS7-Full-4.1m-19.05.26</vt:lpstr>
      <vt:lpstr>FS6-Full-Gemini3.1-pro-25.04.26</vt:lpstr>
      <vt:lpstr>FS5-Full-gemini-3-flash-preview</vt:lpstr>
      <vt:lpstr>FS4-Full-5.4n-10.04.26</vt:lpstr>
      <vt:lpstr>FS3-Full-4.1m-08.04.26</vt:lpstr>
      <vt:lpstr>FS2-Full-4.1m-08.04.26</vt:lpstr>
      <vt:lpstr>FS1-Full-4.1m-07.04.26</vt:lpstr>
      <vt:lpstr>GPT4.1m-fine-tunned</vt:lpstr>
      <vt:lpstr>Gemini-2.5-flash-fine-tunned</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Dexter Simington</dc:creator>
  <cp:lastModifiedBy>Dexter Simington</cp:lastModifiedBy>
  <dcterms:created xsi:type="dcterms:W3CDTF">2015-06-05T18:17:20Z</dcterms:created>
  <dcterms:modified xsi:type="dcterms:W3CDTF">2026-05-27T19:21:01Z</dcterms:modified>
</cp:coreProperties>
</file>